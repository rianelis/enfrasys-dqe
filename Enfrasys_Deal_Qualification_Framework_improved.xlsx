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500" firstSheet="3" activeTab="5" autoFilterDateGrouping="1"/>
  </bookViews>
  <sheets>
    <sheet xmlns:r="http://schemas.openxmlformats.org/officeDocument/2006/relationships" name="Instructions" sheetId="1" state="visible" r:id="rId1"/>
    <sheet xmlns:r="http://schemas.openxmlformats.org/officeDocument/2006/relationships" name="📋 Cover" sheetId="2" state="visible" r:id="rId2"/>
    <sheet xmlns:r="http://schemas.openxmlformats.org/officeDocument/2006/relationships" name="1 Deal Overview" sheetId="3" state="visible" r:id="rId3"/>
    <sheet xmlns:r="http://schemas.openxmlformats.org/officeDocument/2006/relationships" name="2 Requirements Map" sheetId="4" state="visible" r:id="rId4"/>
    <sheet xmlns:r="http://schemas.openxmlformats.org/officeDocument/2006/relationships" name="3 Capability Match" sheetId="5" state="visible" r:id="rId5"/>
    <sheet xmlns:r="http://schemas.openxmlformats.org/officeDocument/2006/relationships" name="4 Risk Assessment" sheetId="6" state="visible" r:id="rId6"/>
    <sheet xmlns:r="http://schemas.openxmlformats.org/officeDocument/2006/relationships" name="5 Qualification Score" sheetId="7" state="visible" r:id="rId7"/>
    <sheet xmlns:r="http://schemas.openxmlformats.org/officeDocument/2006/relationships" name="Settings" sheetId="8" state="visible" r:id="rId8"/>
  </sheets>
  <definedNames/>
  <calcPr calcId="191029" fullCalcOnLoad="1"/>
</workbook>
</file>

<file path=xl/styles.xml><?xml version="1.0" encoding="utf-8"?>
<styleSheet xmlns="http://schemas.openxmlformats.org/spreadsheetml/2006/main">
  <numFmts count="1">
    <numFmt numFmtId="164" formatCode="0.0"/>
  </numFmts>
  <fonts count="28">
    <font>
      <name val="Calibri"/>
      <charset val="1"/>
      <family val="2"/>
      <color theme="1"/>
      <sz val="11"/>
    </font>
    <font>
      <name val="Arial"/>
      <charset val="1"/>
      <b val="1"/>
      <color rgb="FF00B4D8"/>
      <sz val="10"/>
    </font>
    <font>
      <name val="Arial"/>
      <charset val="1"/>
      <b val="1"/>
      <color rgb="FFFFFFFF"/>
      <sz val="26"/>
    </font>
    <font>
      <name val="Arial"/>
      <charset val="1"/>
      <color rgb="FFD0D7E3"/>
      <sz val="9"/>
    </font>
    <font>
      <name val="Arial"/>
      <charset val="1"/>
      <b val="1"/>
      <color rgb="FF0078D4"/>
      <sz val="10"/>
    </font>
    <font>
      <name val="Arial"/>
      <charset val="1"/>
      <b val="1"/>
      <color rgb="FF0A1628"/>
      <sz val="10"/>
    </font>
    <font>
      <name val="Arial"/>
      <charset val="1"/>
      <i val="1"/>
      <color rgb="FF475569"/>
      <sz val="9"/>
    </font>
    <font>
      <name val="Arial"/>
      <charset val="1"/>
      <b val="1"/>
      <color rgb="FFFFFFFF"/>
      <sz val="18"/>
    </font>
    <font>
      <name val="Arial"/>
      <charset val="1"/>
      <i val="1"/>
      <color rgb="FF00B4D8"/>
      <sz val="9"/>
    </font>
    <font>
      <name val="Arial"/>
      <charset val="1"/>
      <b val="1"/>
      <color rgb="FFFFFFFF"/>
      <sz val="11"/>
    </font>
    <font>
      <name val="Arial"/>
      <charset val="1"/>
      <b val="1"/>
      <color rgb="FF6B7A99"/>
      <sz val="9"/>
    </font>
    <font>
      <name val="Arial"/>
      <charset val="1"/>
      <color rgb="FF0F172A"/>
      <sz val="10"/>
    </font>
    <font>
      <name val="Arial"/>
      <charset val="1"/>
      <i val="1"/>
      <color rgb="FF6B7A99"/>
      <sz val="9"/>
    </font>
    <font>
      <name val="Arial"/>
      <charset val="1"/>
      <b val="1"/>
      <color rgb="FFFFFFFF"/>
      <sz val="10"/>
    </font>
    <font>
      <name val="Arial"/>
      <charset val="1"/>
      <b val="1"/>
      <color rgb="FF0F172A"/>
      <sz val="10"/>
    </font>
    <font>
      <name val="Arial"/>
      <charset val="1"/>
      <b val="1"/>
      <sz val="10"/>
    </font>
    <font>
      <name val="Arial"/>
      <charset val="1"/>
      <b val="1"/>
      <color rgb="FF0A1628"/>
      <sz val="11"/>
    </font>
    <font>
      <name val="Arial"/>
      <charset val="1"/>
      <b val="1"/>
      <color rgb="FF0078D4"/>
      <sz val="14"/>
    </font>
    <font>
      <name val="Arial"/>
      <charset val="1"/>
      <color rgb="FF0000FF"/>
      <sz val="11"/>
    </font>
    <font>
      <name val="Arial"/>
      <charset val="1"/>
      <b val="1"/>
      <color rgb="FF0000FF"/>
      <sz val="14"/>
    </font>
    <font>
      <name val="Arial"/>
      <charset val="1"/>
      <b val="1"/>
      <color rgb="FF0A1628"/>
      <sz val="13"/>
    </font>
    <font>
      <name val="Arial"/>
      <charset val="1"/>
      <b val="1"/>
      <color rgb="FF6B7A99"/>
      <sz val="8"/>
    </font>
    <font>
      <name val="Arial"/>
      <charset val="1"/>
      <b val="1"/>
      <color rgb="FF0A1628"/>
      <sz val="36"/>
    </font>
    <font>
      <name val="Arial"/>
      <charset val="1"/>
      <b val="1"/>
      <color rgb="FF0A1628"/>
      <sz val="16"/>
    </font>
    <font>
      <name val="Arial"/>
      <charset val="1"/>
      <b val="1"/>
      <color rgb="FF0A1628"/>
      <sz val="12"/>
    </font>
    <font>
      <name val="Arial"/>
      <charset val="1"/>
      <color rgb="FF475569"/>
      <sz val="10"/>
    </font>
    <font>
      <name val="Arial"/>
      <charset val="1"/>
      <sz val="10"/>
    </font>
    <font>
      <name val="Arial"/>
      <charset val="1"/>
      <color rgb="FF0F172A"/>
      <sz val="11"/>
    </font>
  </fonts>
  <fills count="10">
    <fill>
      <patternFill/>
    </fill>
    <fill>
      <patternFill patternType="gray125"/>
    </fill>
    <fill>
      <patternFill patternType="solid">
        <fgColor rgb="FF0A1628"/>
        <bgColor rgb="FF0F172A"/>
      </patternFill>
    </fill>
    <fill>
      <patternFill patternType="solid">
        <fgColor rgb="FFF4F6FA"/>
        <bgColor rgb="FFE6F2FC"/>
      </patternFill>
    </fill>
    <fill>
      <patternFill patternType="solid">
        <fgColor rgb="FF112240"/>
        <bgColor rgb="FF0F172A"/>
      </patternFill>
    </fill>
    <fill>
      <patternFill patternType="solid">
        <fgColor rgb="FFE6F2FC"/>
        <bgColor rgb="FFF4F6FA"/>
      </patternFill>
    </fill>
    <fill>
      <patternFill patternType="solid">
        <fgColor rgb="FFFFFFFF"/>
        <bgColor rgb="FFF4F6FA"/>
      </patternFill>
    </fill>
    <fill>
      <patternFill patternType="solid">
        <fgColor rgb="FF0D47A1"/>
        <bgColor rgb="FF1565C0"/>
      </patternFill>
    </fill>
    <fill>
      <patternFill patternType="solid">
        <fgColor rgb="FF92400E"/>
        <bgColor rgb="FF991B1B"/>
      </patternFill>
    </fill>
    <fill>
      <patternFill patternType="solid">
        <fgColor rgb="FF4A1D96"/>
        <bgColor rgb="FF660066"/>
      </patternFill>
    </fill>
  </fills>
  <borders count="14">
    <border>
      <left/>
      <right/>
      <top/>
      <bottom/>
      <diagonal/>
    </border>
    <border>
      <left style="medium">
        <color rgb="FF0078D4"/>
      </left>
      <right/>
      <top/>
      <bottom/>
      <diagonal/>
    </border>
    <border>
      <left/>
      <right/>
      <top/>
      <bottom style="medium">
        <color rgb="FF0078D4"/>
      </bottom>
      <diagonal/>
    </border>
    <border>
      <left style="thin">
        <color rgb="FFCBD5E1"/>
      </left>
      <right/>
      <top style="thin">
        <color rgb="FFCBD5E1"/>
      </top>
      <bottom/>
      <diagonal/>
    </border>
    <border>
      <left style="thin">
        <color rgb="FFCBD5E1"/>
      </left>
      <right style="thin">
        <color rgb="FFCBD5E1"/>
      </right>
      <top style="thin">
        <color rgb="FFCBD5E1"/>
      </top>
      <bottom style="thin">
        <color rgb="FFCBD5E1"/>
      </bottom>
      <diagonal/>
    </border>
    <border>
      <left/>
      <right/>
      <top/>
      <bottom style="thin">
        <color rgb="FFCBD5E1"/>
      </bottom>
      <diagonal/>
    </border>
    <border>
      <left style="thin">
        <color rgb="FFCBD5E1"/>
      </left>
      <right style="thin">
        <color rgb="FFCBD5E1"/>
      </right>
      <top style="thin">
        <color rgb="FFCBD5E1"/>
      </top>
      <bottom/>
      <diagonal/>
    </border>
    <border>
      <left style="thin">
        <color rgb="FFCBD5E1"/>
      </left>
      <right/>
      <top style="thin">
        <color rgb="FFCBD5E1"/>
      </top>
      <bottom style="thin">
        <color rgb="FFCBD5E1"/>
      </bottom>
      <diagonal/>
    </border>
    <border>
      <left style="medium">
        <color rgb="FFD0D7E3"/>
      </left>
      <right/>
      <top/>
      <bottom style="thin">
        <color rgb="FFCBD5E1"/>
      </bottom>
      <diagonal/>
    </border>
    <border>
      <left style="medium">
        <color rgb="FF0078D4"/>
      </left>
      <right/>
      <top style="thin">
        <color rgb="FFCBD5E1"/>
      </top>
      <bottom/>
      <diagonal/>
    </border>
    <border>
      <left/>
      <right/>
      <top style="thin">
        <color rgb="FFCBD5E1"/>
      </top>
      <bottom/>
      <diagonal/>
    </border>
    <border>
      <left style="thin">
        <color rgb="FFCBD5E1"/>
      </left>
      <right/>
      <top/>
      <bottom/>
      <diagonal/>
    </border>
    <border>
      <left/>
      <right/>
      <top style="thin">
        <color rgb="FFCBD5E1"/>
      </top>
      <bottom style="thin">
        <color rgb="FFCBD5E1"/>
      </bottom>
      <diagonal/>
    </border>
    <border>
      <left style="thin">
        <color rgb="FFCBD5E1"/>
      </left>
      <right style="thin">
        <color rgb="FFCBD5E1"/>
      </right>
      <top/>
      <bottom/>
      <diagonal/>
    </border>
  </borders>
  <cellStyleXfs count="1">
    <xf numFmtId="0" fontId="0" fillId="0" borderId="0"/>
  </cellStyleXfs>
  <cellXfs count="57">
    <xf numFmtId="0" fontId="0" fillId="0" borderId="0" pivotButton="0" quotePrefix="0" xfId="0"/>
    <xf numFmtId="0" fontId="9" fillId="9" borderId="0" applyAlignment="1" pivotButton="0" quotePrefix="0" xfId="0">
      <alignment horizontal="left" vertical="center"/>
    </xf>
    <xf numFmtId="0" fontId="9" fillId="8" borderId="0" applyAlignment="1" pivotButton="0" quotePrefix="0" xfId="0">
      <alignment horizontal="left" vertical="center"/>
    </xf>
    <xf numFmtId="0" fontId="9" fillId="7" borderId="0" applyAlignment="1" pivotButton="0" quotePrefix="0" xfId="0">
      <alignment horizontal="left" vertical="center"/>
    </xf>
    <xf numFmtId="0" fontId="12" fillId="0" borderId="0" pivotButton="0" quotePrefix="0" xfId="0"/>
    <xf numFmtId="0" fontId="16" fillId="0" borderId="0" pivotButton="0" quotePrefix="0" xfId="0"/>
    <xf numFmtId="0" fontId="5" fillId="5" borderId="0" applyAlignment="1" pivotButton="0" quotePrefix="0" xfId="0">
      <alignment horizontal="left" vertical="center"/>
    </xf>
    <xf numFmtId="0" fontId="11" fillId="3" borderId="3" applyAlignment="1" pivotButton="0" quotePrefix="0" xfId="0">
      <alignment horizontal="left" vertical="top" wrapText="1"/>
    </xf>
    <xf numFmtId="0" fontId="9" fillId="4" borderId="0" applyAlignment="1" pivotButton="0" quotePrefix="0" xfId="0">
      <alignment horizontal="left" vertical="center"/>
    </xf>
    <xf numFmtId="0" fontId="8" fillId="2" borderId="0" applyAlignment="1" pivotButton="0" quotePrefix="0" xfId="0">
      <alignment horizontal="left" vertical="center"/>
    </xf>
    <xf numFmtId="0" fontId="7" fillId="2" borderId="0" applyAlignment="1" pivotButton="0" quotePrefix="0" xfId="0">
      <alignment horizontal="left" vertical="center"/>
    </xf>
    <xf numFmtId="0" fontId="4" fillId="0" borderId="0" applyAlignment="1" pivotButton="0" quotePrefix="0" xfId="0">
      <alignment horizontal="left" vertical="center"/>
    </xf>
    <xf numFmtId="0" fontId="3" fillId="2" borderId="0" applyAlignment="1" pivotButton="0" quotePrefix="0" xfId="0">
      <alignment horizontal="left" vertical="center"/>
    </xf>
    <xf numFmtId="0" fontId="1" fillId="2" borderId="0" applyAlignment="1" pivotButton="0" quotePrefix="0" xfId="0">
      <alignment horizontal="left" vertical="center"/>
    </xf>
    <xf numFmtId="0" fontId="0" fillId="2" borderId="0" pivotButton="0" quotePrefix="0" xfId="0"/>
    <xf numFmtId="0" fontId="5" fillId="3" borderId="1" applyAlignment="1" pivotButton="0" quotePrefix="0" xfId="0">
      <alignment horizontal="left" vertical="center"/>
    </xf>
    <xf numFmtId="0" fontId="6" fillId="3" borderId="1" applyAlignment="1" pivotButton="0" quotePrefix="0" xfId="0">
      <alignment horizontal="left" vertical="center" wrapText="1"/>
    </xf>
    <xf numFmtId="0" fontId="10" fillId="0" borderId="0" pivotButton="0" quotePrefix="0" xfId="0"/>
    <xf numFmtId="0" fontId="11" fillId="3" borderId="2" applyAlignment="1" pivotButton="0" quotePrefix="0" xfId="0">
      <alignment horizontal="left" vertical="center"/>
    </xf>
    <xf numFmtId="0" fontId="12" fillId="0" borderId="0" pivotButton="0" quotePrefix="0" xfId="0"/>
    <xf numFmtId="0" fontId="13" fillId="4" borderId="0" applyAlignment="1" pivotButton="0" quotePrefix="0" xfId="0">
      <alignment horizontal="center" vertical="center"/>
    </xf>
    <xf numFmtId="0" fontId="14" fillId="6" borderId="4" applyAlignment="1" pivotButton="0" quotePrefix="0" xfId="0">
      <alignment horizontal="left" vertical="center"/>
    </xf>
    <xf numFmtId="0" fontId="6" fillId="6" borderId="4" applyAlignment="1" pivotButton="0" quotePrefix="0" xfId="0">
      <alignment horizontal="left" vertical="center"/>
    </xf>
    <xf numFmtId="0" fontId="15" fillId="3" borderId="4" applyAlignment="1" pivotButton="0" quotePrefix="0" xfId="0">
      <alignment horizontal="center" vertical="center"/>
    </xf>
    <xf numFmtId="0" fontId="17" fillId="0" borderId="0" applyAlignment="1" pivotButton="0" quotePrefix="0" xfId="0">
      <alignment horizontal="center" vertical="center"/>
    </xf>
    <xf numFmtId="0" fontId="13" fillId="4" borderId="0" applyAlignment="1" pivotButton="0" quotePrefix="0" xfId="0">
      <alignment horizontal="center" vertical="center" wrapText="1"/>
    </xf>
    <xf numFmtId="0" fontId="14" fillId="0" borderId="4" applyAlignment="1" pivotButton="0" quotePrefix="0" xfId="0">
      <alignment horizontal="left" vertical="center"/>
    </xf>
    <xf numFmtId="0" fontId="18" fillId="3" borderId="4" applyAlignment="1" pivotButton="0" quotePrefix="0" xfId="0">
      <alignment horizontal="center" vertical="center"/>
    </xf>
    <xf numFmtId="164" fontId="16" fillId="3" borderId="4" applyAlignment="1" pivotButton="0" quotePrefix="0" xfId="0">
      <alignment horizontal="center" vertical="center"/>
    </xf>
    <xf numFmtId="2" fontId="17" fillId="0" borderId="0" applyAlignment="1" pivotButton="0" quotePrefix="0" xfId="0">
      <alignment horizontal="center" vertical="center"/>
    </xf>
    <xf numFmtId="0" fontId="14" fillId="6" borderId="4" applyAlignment="1" pivotButton="0" quotePrefix="0" xfId="0">
      <alignment horizontal="left" vertical="center" wrapText="1"/>
    </xf>
    <xf numFmtId="0" fontId="19" fillId="3" borderId="4" applyAlignment="1" pivotButton="0" quotePrefix="0" xfId="0">
      <alignment horizontal="center" vertical="center"/>
    </xf>
    <xf numFmtId="0" fontId="6" fillId="3" borderId="4" applyAlignment="1" pivotButton="0" quotePrefix="0" xfId="0">
      <alignment horizontal="left" vertical="center" wrapText="1"/>
    </xf>
    <xf numFmtId="0" fontId="5" fillId="3" borderId="4" pivotButton="0" quotePrefix="0" xfId="0"/>
    <xf numFmtId="2" fontId="20" fillId="3" borderId="4" applyAlignment="1" pivotButton="0" quotePrefix="0" xfId="0">
      <alignment horizontal="center" vertical="center"/>
    </xf>
    <xf numFmtId="0" fontId="12" fillId="3" borderId="4" applyAlignment="1" pivotButton="0" quotePrefix="0" xfId="0">
      <alignment horizontal="left" vertical="center"/>
    </xf>
    <xf numFmtId="0" fontId="21" fillId="0" borderId="0" pivotButton="0" quotePrefix="0" xfId="0"/>
    <xf numFmtId="0" fontId="14" fillId="3" borderId="5" pivotButton="0" quotePrefix="0" xfId="0"/>
    <xf numFmtId="0" fontId="5" fillId="5" borderId="0" applyAlignment="1" pivotButton="0" quotePrefix="0" xfId="0">
      <alignment horizontal="center" vertical="center"/>
    </xf>
    <xf numFmtId="2" fontId="24" fillId="3" borderId="4" applyAlignment="1" pivotButton="0" quotePrefix="0" xfId="0">
      <alignment horizontal="center" vertical="center"/>
    </xf>
    <xf numFmtId="9" fontId="25" fillId="3" borderId="4" applyAlignment="1" pivotButton="0" quotePrefix="0" xfId="0">
      <alignment horizontal="center" vertical="center"/>
    </xf>
    <xf numFmtId="2" fontId="16" fillId="3" borderId="4" applyAlignment="1" pivotButton="0" quotePrefix="0" xfId="0">
      <alignment horizontal="center" vertical="center"/>
    </xf>
    <xf numFmtId="0" fontId="14" fillId="3" borderId="4" pivotButton="0" quotePrefix="0" xfId="0"/>
    <xf numFmtId="0" fontId="9" fillId="2" borderId="0" applyAlignment="1" pivotButton="0" quotePrefix="0" xfId="0">
      <alignment horizontal="left" vertical="center"/>
    </xf>
    <xf numFmtId="0" fontId="22" fillId="3" borderId="6" applyAlignment="1" pivotButton="0" quotePrefix="0" xfId="0">
      <alignment horizontal="center" vertical="center"/>
    </xf>
    <xf numFmtId="0" fontId="23" fillId="3" borderId="7" applyAlignment="1" pivotButton="0" quotePrefix="0" xfId="0">
      <alignment horizontal="left" vertical="center"/>
    </xf>
    <xf numFmtId="0" fontId="12" fillId="0" borderId="0" applyAlignment="1" pivotButton="0" quotePrefix="0" xfId="0">
      <alignment horizontal="left" vertical="center"/>
    </xf>
    <xf numFmtId="0" fontId="12" fillId="3" borderId="7" applyAlignment="1" pivotButton="0" quotePrefix="0" xfId="0">
      <alignment horizontal="left" vertical="center"/>
    </xf>
    <xf numFmtId="0" fontId="26" fillId="3" borderId="8" applyAlignment="1" pivotButton="0" quotePrefix="0" xfId="0">
      <alignment horizontal="left" vertical="center" wrapText="1"/>
    </xf>
    <xf numFmtId="0" fontId="27" fillId="3" borderId="9" applyAlignment="1" pivotButton="0" quotePrefix="0" xfId="0">
      <alignment horizontal="left" vertical="top" wrapText="1"/>
    </xf>
    <xf numFmtId="0" fontId="2" fillId="2" borderId="0" applyAlignment="1" pivotButton="0" quotePrefix="0" xfId="0">
      <alignment horizontal="center" vertical="top" wrapText="1"/>
    </xf>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5" pivotButton="0" quotePrefix="0" xfId="0"/>
    <xf numFmtId="0" fontId="0" fillId="0" borderId="1" pivotButton="0" quotePrefix="0" xfId="0"/>
  </cellXfs>
  <cellStyles count="1">
    <cellStyle name="Normal" xfId="0" builtinId="0"/>
  </cellStyles>
  <dxfs count="40">
    <dxf>
      <font>
        <name val="Arial"/>
        <charset val="1"/>
        <b val="1"/>
        <color rgb="FF166534"/>
      </font>
      <fill>
        <patternFill>
          <bgColor rgb="FFDCFCE7"/>
        </patternFill>
      </fill>
    </dxf>
    <dxf>
      <font>
        <name val="Arial"/>
        <charset val="1"/>
        <b val="1"/>
        <color rgb="FF92400E"/>
      </font>
      <fill>
        <patternFill>
          <bgColor rgb="FFFEF3C7"/>
        </patternFill>
      </fill>
    </dxf>
    <dxf>
      <font>
        <name val="Arial"/>
        <charset val="1"/>
        <b val="1"/>
        <color rgb="FF991B1B"/>
      </font>
      <fill>
        <patternFill>
          <bgColor rgb="FFFEE2E2"/>
        </patternFill>
      </fill>
    </dxf>
    <dxf>
      <font>
        <name val="Arial"/>
        <charset val="1"/>
        <b val="1"/>
        <color rgb="FF991B1B"/>
        <sz val="16"/>
      </font>
      <fill>
        <patternFill>
          <bgColor rgb="FFFEE2E2"/>
        </patternFill>
      </fill>
    </dxf>
    <dxf>
      <font>
        <name val="Arial"/>
        <charset val="1"/>
        <b val="1"/>
        <color rgb="FF92400E"/>
        <sz val="16"/>
      </font>
      <fill>
        <patternFill>
          <bgColor rgb="FFFEF3C7"/>
        </patternFill>
      </fill>
    </dxf>
    <dxf>
      <font>
        <name val="Arial"/>
        <charset val="1"/>
        <b val="1"/>
        <color rgb="FF166534"/>
        <sz val="16"/>
      </font>
      <fill>
        <patternFill>
          <bgColor rgb="FFDCFCE7"/>
        </patternFill>
      </fill>
    </dxf>
    <dxf>
      <fill>
        <patternFill>
          <bgColor rgb="FFFEE2E2"/>
        </patternFill>
      </fill>
    </dxf>
    <dxf>
      <fill>
        <patternFill>
          <bgColor rgb="FFFEF3C7"/>
        </patternFill>
      </fill>
    </dxf>
    <dxf>
      <fill>
        <patternFill>
          <bgColor rgb="FFDCFCE7"/>
        </patternFill>
      </fill>
    </dxf>
    <dxf>
      <font>
        <name val="Arial"/>
        <charset val="1"/>
        <color rgb="FF166534"/>
        <sz val="10"/>
      </font>
      <fill>
        <patternFill>
          <bgColor rgb="FFDCFCE7"/>
        </patternFill>
      </fill>
    </dxf>
    <dxf>
      <font>
        <name val="Arial"/>
        <charset val="1"/>
        <b val="1"/>
        <color rgb="FF991B1B"/>
        <sz val="10"/>
      </font>
      <fill>
        <patternFill>
          <bgColor rgb="FFFEE2E2"/>
        </patternFill>
      </fill>
    </dxf>
    <dxf>
      <font>
        <name val="Arial"/>
        <charset val="1"/>
        <color rgb="FF166534"/>
        <sz val="10"/>
      </font>
      <fill>
        <patternFill>
          <bgColor rgb="FFDCFCE7"/>
        </patternFill>
      </fill>
    </dxf>
    <dxf>
      <font>
        <name val="Arial"/>
        <charset val="1"/>
        <b val="1"/>
        <color rgb="FF991B1B"/>
        <sz val="10"/>
      </font>
      <fill>
        <patternFill>
          <bgColor rgb="FFFEE2E2"/>
        </patternFill>
      </fill>
    </dxf>
    <dxf>
      <font>
        <name val="Arial"/>
        <charset val="1"/>
        <color rgb="FF166534"/>
        <sz val="10"/>
      </font>
      <fill>
        <patternFill>
          <bgColor rgb="FFDCFCE7"/>
        </patternFill>
      </fill>
    </dxf>
    <dxf>
      <font>
        <name val="Arial"/>
        <charset val="1"/>
        <b val="1"/>
        <color rgb="FF991B1B"/>
        <sz val="10"/>
      </font>
      <fill>
        <patternFill>
          <bgColor rgb="FFFEE2E2"/>
        </patternFill>
      </fill>
    </dxf>
    <dxf>
      <font>
        <name val="Arial"/>
        <charset val="1"/>
        <color rgb="FF166534"/>
        <sz val="10"/>
      </font>
      <fill>
        <patternFill>
          <bgColor rgb="FFDCFCE7"/>
        </patternFill>
      </fill>
    </dxf>
    <dxf>
      <font>
        <name val="Arial"/>
        <charset val="1"/>
        <b val="1"/>
        <color rgb="FF991B1B"/>
        <sz val="10"/>
      </font>
      <fill>
        <patternFill>
          <bgColor rgb="FFFEE2E2"/>
        </patternFill>
      </fill>
    </dxf>
    <dxf>
      <font>
        <name val="Arial"/>
        <charset val="1"/>
        <b val="1"/>
        <color rgb="FF166534"/>
      </font>
      <fill>
        <patternFill>
          <bgColor rgb="FFDCFCE7"/>
        </patternFill>
      </fill>
    </dxf>
    <dxf>
      <font>
        <name val="Arial"/>
        <charset val="1"/>
        <b val="1"/>
        <color rgb="FF92400E"/>
      </font>
      <fill>
        <patternFill>
          <bgColor rgb="FFFEF3C7"/>
        </patternFill>
      </fill>
    </dxf>
    <dxf>
      <font>
        <name val="Arial"/>
        <charset val="1"/>
        <b val="1"/>
        <color rgb="FF991B1B"/>
      </font>
      <fill>
        <patternFill>
          <bgColor rgb="FFFEE2E2"/>
        </patternFill>
      </fill>
    </dxf>
    <dxf>
      <font>
        <name val="Arial"/>
        <charset val="1"/>
        <b val="1"/>
        <color rgb="FF166534"/>
      </font>
      <fill>
        <patternFill>
          <bgColor rgb="FFDCFCE7"/>
        </patternFill>
      </fill>
    </dxf>
    <dxf>
      <font>
        <name val="Arial"/>
        <charset val="1"/>
        <b val="1"/>
        <color rgb="FF92400E"/>
      </font>
      <fill>
        <patternFill>
          <bgColor rgb="FFFEF3C7"/>
        </patternFill>
      </fill>
    </dxf>
    <dxf>
      <font>
        <name val="Arial"/>
        <charset val="1"/>
        <b val="1"/>
        <color rgb="FF991B1B"/>
      </font>
      <fill>
        <patternFill>
          <bgColor rgb="FFFEE2E2"/>
        </patternFill>
      </fill>
    </dxf>
    <dxf>
      <font>
        <name val="Arial"/>
        <charset val="1"/>
        <b val="1"/>
        <color rgb="FF166534"/>
      </font>
      <fill>
        <patternFill>
          <bgColor rgb="FFDCFCE7"/>
        </patternFill>
      </fill>
    </dxf>
    <dxf>
      <font>
        <name val="Arial"/>
        <charset val="1"/>
        <b val="1"/>
        <color rgb="FF92400E"/>
      </font>
      <fill>
        <patternFill>
          <bgColor rgb="FFFEF3C7"/>
        </patternFill>
      </fill>
    </dxf>
    <dxf>
      <font>
        <name val="Arial"/>
        <charset val="1"/>
        <b val="1"/>
        <color rgb="FF991B1B"/>
      </font>
      <fill>
        <patternFill>
          <bgColor rgb="FFFEE2E2"/>
        </patternFill>
      </fill>
    </dxf>
    <dxf>
      <font>
        <name val="Arial"/>
        <charset val="1"/>
        <b val="1"/>
        <color rgb="FF991B1B"/>
      </font>
      <fill>
        <patternFill>
          <bgColor rgb="FFFEE2E2"/>
        </patternFill>
      </fill>
    </dxf>
    <dxf>
      <font>
        <name val="Arial"/>
        <charset val="1"/>
        <b val="1"/>
        <color rgb="FF92400E"/>
      </font>
      <fill>
        <patternFill>
          <bgColor rgb="FFFEF3C7"/>
        </patternFill>
      </fill>
    </dxf>
    <dxf>
      <font>
        <name val="Arial"/>
        <charset val="1"/>
        <b val="1"/>
        <color rgb="FF166534"/>
      </font>
      <fill>
        <patternFill>
          <bgColor rgb="FFDCFCE7"/>
        </patternFill>
      </fill>
    </dxf>
    <dxf>
      <font>
        <name val="Arial"/>
        <charset val="1"/>
        <b val="1"/>
        <color rgb="FF991B1B"/>
      </font>
      <fill>
        <patternFill>
          <bgColor rgb="FFFEE2E2"/>
        </patternFill>
      </fill>
    </dxf>
    <dxf>
      <font>
        <name val="Arial"/>
        <charset val="1"/>
        <b val="1"/>
        <color rgb="FF92400E"/>
      </font>
      <fill>
        <patternFill>
          <bgColor rgb="FFFEF3C7"/>
        </patternFill>
      </fill>
    </dxf>
    <dxf>
      <font>
        <name val="Arial"/>
        <charset val="1"/>
        <b val="1"/>
        <color rgb="FF166534"/>
      </font>
      <fill>
        <patternFill>
          <bgColor rgb="FFDCFCE7"/>
        </patternFill>
      </fill>
    </dxf>
    <dxf>
      <font>
        <name val="Arial"/>
        <charset val="1"/>
        <b val="1"/>
        <color rgb="FF166534"/>
      </font>
      <fill>
        <patternFill>
          <bgColor rgb="FFDCFCE7"/>
        </patternFill>
      </fill>
    </dxf>
    <dxf>
      <font>
        <name val="Arial"/>
        <charset val="1"/>
        <b val="1"/>
        <color rgb="FF991B1B"/>
      </font>
      <fill>
        <patternFill>
          <bgColor rgb="FFFEE2E2"/>
        </patternFill>
      </fill>
    </dxf>
    <dxf>
      <font>
        <name val="Arial"/>
        <charset val="1"/>
        <b val="1"/>
        <color rgb="FF92400E"/>
      </font>
      <fill>
        <patternFill>
          <bgColor rgb="FFFEF3C7"/>
        </patternFill>
      </fill>
    </dxf>
    <dxf>
      <font>
        <name val="Arial"/>
        <charset val="1"/>
        <b val="1"/>
        <color rgb="FF991B1B"/>
      </font>
      <fill>
        <patternFill>
          <bgColor rgb="FFFEE2E2"/>
        </patternFill>
      </fill>
    </dxf>
    <dxf>
      <font>
        <name val="Arial"/>
        <charset val="1"/>
        <b val="1"/>
        <color rgb="FF92400E"/>
      </font>
      <fill>
        <patternFill>
          <bgColor rgb="FFFEF3C7"/>
        </patternFill>
      </fill>
    </dxf>
    <dxf>
      <font>
        <name val="Arial"/>
        <charset val="1"/>
        <b val="1"/>
        <color rgb="FF166534"/>
      </font>
      <fill>
        <patternFill>
          <bgColor rgb="FFDCFCE7"/>
        </patternFill>
      </fill>
    </dxf>
    <dxf>
      <font>
        <name val="Arial"/>
        <charset val="1"/>
        <b val="1"/>
        <color rgb="FF991B1B"/>
      </font>
      <fill>
        <patternFill>
          <bgColor rgb="FFFEE2E2"/>
        </patternFill>
      </fill>
    </dxf>
    <dxf>
      <font>
        <name val="Arial"/>
        <charset val="1"/>
        <b val="1"/>
        <color rgb="FF166534"/>
      </font>
      <fill>
        <patternFill>
          <bgColor rgb="FFDCFCE7"/>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91B1B"/>
      <rgbColor rgb="FF166534"/>
      <rgbColor rgb="FF000080"/>
      <rgbColor rgb="FF808000"/>
      <rgbColor rgb="FF800080"/>
      <rgbColor rgb="FF006064"/>
      <rgbColor rgb="FFD0D7E3"/>
      <rgbColor rgb="FF6B7A99"/>
      <rgbColor rgb="FF9999FF"/>
      <rgbColor rgb="FF993366"/>
      <rgbColor rgb="FFFEF3C7"/>
      <rgbColor rgb="FFDCFCE7"/>
      <rgbColor rgb="FF660066"/>
      <rgbColor rgb="FFFF8080"/>
      <rgbColor rgb="FF1565C0"/>
      <rgbColor rgb="FFCBD5E1"/>
      <rgbColor rgb="FF000080"/>
      <rgbColor rgb="FFFF00FF"/>
      <rgbColor rgb="FFFFFF00"/>
      <rgbColor rgb="FF00FFFF"/>
      <rgbColor rgb="FF800080"/>
      <rgbColor rgb="FF800000"/>
      <rgbColor rgb="FF0078D4"/>
      <rgbColor rgb="FF0000FF"/>
      <rgbColor rgb="FF00B4D8"/>
      <rgbColor rgb="FFE6F2FC"/>
      <rgbColor rgb="FFF4F6FA"/>
      <rgbColor rgb="FFFFFF99"/>
      <rgbColor rgb="FF99CCFF"/>
      <rgbColor rgb="FFFF99CC"/>
      <rgbColor rgb="FFCC99FF"/>
      <rgbColor rgb="FFFEE2E2"/>
      <rgbColor rgb="FF0D47A1"/>
      <rgbColor rgb="FF33CCCC"/>
      <rgbColor rgb="FF99CC00"/>
      <rgbColor rgb="FFFFCC00"/>
      <rgbColor rgb="FFFF9900"/>
      <rgbColor rgb="FFFF6600"/>
      <rgbColor rgb="FF475569"/>
      <rgbColor rgb="FF969696"/>
      <rgbColor rgb="FF112240"/>
      <rgbColor rgb="FF339966"/>
      <rgbColor rgb="FF0A1628"/>
      <rgbColor rgb="FF1B5E20"/>
      <rgbColor rgb="FF92400E"/>
      <rgbColor rgb="FF993366"/>
      <rgbColor rgb="FF4A1D96"/>
      <rgbColor rgb="FF0F172A"/>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sheetData>
    <row r="1">
      <c r="A1" t="inlineStr">
        <is>
          <t>Deal Qualification Framework Instructions</t>
        </is>
      </c>
    </row>
    <row r="3">
      <c r="A3" t="inlineStr">
        <is>
          <t>This workbook helps evaluate deal opportunities against Enfrasys capabilities and risks.</t>
        </is>
      </c>
    </row>
    <row r="5">
      <c r="A5" t="inlineStr">
        <is>
          <t>How to use each step:</t>
        </is>
      </c>
    </row>
    <row r="6">
      <c r="A6" t="inlineStr">
        <is>
          <t>1. Deal Overview: Fill in basic information such as customer name, project name, contact details, sector, project timeline, procurement type and key technical requirements. Fields marked with * are required.</t>
        </is>
      </c>
    </row>
    <row r="7">
      <c r="A7" t="inlineStr">
        <is>
          <t>2. Requirements Map: For each service area listed, select YES if the customer requires it, otherwise select NO. This drives the capability matching in Step 3.</t>
        </is>
      </c>
    </row>
    <row r="8">
      <c r="A8" t="inlineStr">
        <is>
          <t>3. Capability Match: Rate Enfrasys capability for each service (Team Skills &amp; Certifications, Tools &amp; Licenses, Project Experience) on a 1–5 scale (1=Very Low, 5=Excellent). Scores are averaged automatically.</t>
        </is>
      </c>
    </row>
    <row r="9">
      <c r="A9" t="inlineStr">
        <is>
          <t>4. Risk Assessment: Score each risk factor on a 1–5 scale (1=Low risk, 5=High risk) for development, time and operations dimensions. The sheet calculates dimension averages.</t>
        </is>
      </c>
    </row>
    <row r="10">
      <c r="A10" t="inlineStr">
        <is>
          <t>5. Qualification Score: Review the weighted risk score and recommendations. Weights for Development, Time and Operations risk can be adjusted in the Settings sheet.</t>
        </is>
      </c>
    </row>
    <row r="12">
      <c r="A12" t="inlineStr">
        <is>
          <t>Use Data Validation and drop‑downs to ensure consistency and prevent invalid entries. Cells containing formulas are protected from editing. If you need to change the weights, go to the Settings sheet and ensure the sum equals 1.</t>
        </is>
      </c>
    </row>
  </sheetData>
  <pageMargins left="0.75" right="0.75" top="1" bottom="1" header="0.5" footer="0.5"/>
</worksheet>
</file>

<file path=xl/worksheets/sheet2.xml><?xml version="1.0" encoding="utf-8"?>
<worksheet xmlns="http://schemas.openxmlformats.org/spreadsheetml/2006/main">
  <sheetPr>
    <tabColor rgb="FF0A1628"/>
    <outlinePr summaryBelow="1" summaryRight="1"/>
    <pageSetUpPr/>
  </sheetPr>
  <dimension ref="A1:K25"/>
  <sheetViews>
    <sheetView showGridLines="0" topLeftCell="B1" zoomScaleNormal="100" workbookViewId="0">
      <selection activeCell="B3" sqref="B3:K6"/>
    </sheetView>
  </sheetViews>
  <sheetFormatPr baseColWidth="8" defaultColWidth="8.6328125" defaultRowHeight="14.5"/>
  <cols>
    <col width="2" customWidth="1" min="1" max="1"/>
    <col width="28" customWidth="1" min="2" max="2"/>
    <col width="55" customWidth="1" min="3" max="3"/>
    <col width="2" customWidth="1" min="4" max="4"/>
  </cols>
  <sheetData>
    <row r="1" ht="18" customHeight="1">
      <c r="A1" s="14" t="n"/>
      <c r="B1" s="14" t="n"/>
      <c r="C1" s="14" t="n"/>
      <c r="D1" s="14" t="n"/>
      <c r="E1" s="14" t="n"/>
      <c r="F1" s="14" t="n"/>
      <c r="G1" s="14" t="n"/>
      <c r="H1" s="14" t="n"/>
      <c r="I1" s="14" t="n"/>
      <c r="J1" s="14" t="n"/>
      <c r="K1" s="14" t="n"/>
    </row>
    <row r="2" ht="18" customHeight="1">
      <c r="A2" s="14" t="n"/>
      <c r="B2" s="13" t="inlineStr">
        <is>
          <t>ENFRASYS GROUP</t>
        </is>
      </c>
      <c r="D2" s="14" t="n"/>
      <c r="E2" s="14" t="n"/>
      <c r="F2" s="14" t="n"/>
      <c r="G2" s="14" t="n"/>
      <c r="H2" s="14" t="n"/>
      <c r="I2" s="14" t="n"/>
      <c r="J2" s="14" t="n"/>
      <c r="K2" s="14" t="n"/>
    </row>
    <row r="3">
      <c r="A3" s="14" t="n"/>
      <c r="B3" s="50" t="inlineStr">
        <is>
          <t>Technical Deal Qualification Framework</t>
        </is>
      </c>
    </row>
    <row r="4">
      <c r="A4" s="14" t="n"/>
    </row>
    <row r="5">
      <c r="A5" s="14" t="n"/>
    </row>
    <row r="6">
      <c r="A6" s="14" t="n"/>
    </row>
    <row r="7" ht="18" customHeight="1">
      <c r="A7" s="14" t="n"/>
      <c r="B7" s="12" t="inlineStr">
        <is>
          <t>Microsoft Gold Partner · Cloud · Modern Work · Security · Managed Services</t>
        </is>
      </c>
      <c r="D7" s="14" t="n"/>
      <c r="E7" s="14" t="n"/>
      <c r="F7" s="14" t="n"/>
      <c r="G7" s="14" t="n"/>
      <c r="H7" s="14" t="n"/>
      <c r="I7" s="14" t="n"/>
      <c r="J7" s="14" t="n"/>
      <c r="K7" s="14" t="n"/>
    </row>
    <row r="8" ht="18" customHeight="1">
      <c r="A8" s="14" t="n"/>
      <c r="B8" s="14" t="n"/>
      <c r="C8" s="14" t="n"/>
      <c r="D8" s="14" t="n"/>
      <c r="E8" s="14" t="n"/>
      <c r="F8" s="14" t="n"/>
      <c r="G8" s="14" t="n"/>
      <c r="H8" s="14" t="n"/>
      <c r="I8" s="14" t="n"/>
      <c r="J8" s="14" t="n"/>
      <c r="K8" s="14" t="n"/>
    </row>
    <row r="9" ht="13.5" customHeight="1"/>
    <row r="10" ht="19.5" customHeight="1">
      <c r="B10" s="11" t="inlineStr">
        <is>
          <t>HOW TO USE THIS TOOL</t>
        </is>
      </c>
    </row>
    <row r="12" ht="18" customHeight="1">
      <c r="B12" s="15" t="inlineStr">
        <is>
          <t>1  Deal Overview</t>
        </is>
      </c>
      <c r="C12" t="inlineStr">
        <is>
          <t>Fill in customer name, sector, deal value and timeline in the '1 Deal Overview' tab.</t>
        </is>
      </c>
    </row>
    <row r="13" ht="18" customHeight="1">
      <c r="B13" s="16" t="inlineStr">
        <is>
          <t>Fill in customer name, sector, deal value and timeline in the '1 Deal Overview' tab.</t>
        </is>
      </c>
    </row>
    <row r="15" ht="18" customHeight="1">
      <c r="B15" s="15" t="inlineStr">
        <is>
          <t>2  Requirements Map</t>
        </is>
      </c>
      <c r="C15" t="inlineStr">
        <is>
          <t>Tick all services the customer requires. The tool maps these to Enfrasys' capability areas.</t>
        </is>
      </c>
    </row>
    <row r="16" ht="18" customHeight="1">
      <c r="B16" s="16" t="inlineStr">
        <is>
          <t>Tick all services the customer requires. The tool maps these to Enfrasys' capability areas.</t>
        </is>
      </c>
    </row>
    <row r="18" ht="18" customHeight="1">
      <c r="B18" s="15" t="inlineStr">
        <is>
          <t>3  Capability Match</t>
        </is>
      </c>
      <c r="C18" t="inlineStr">
        <is>
          <t>Rate Enfrasys' skills, tools &amp; experience for each selected service (1–5 scale).</t>
        </is>
      </c>
    </row>
    <row r="19" ht="18" customHeight="1">
      <c r="B19" s="16" t="inlineStr">
        <is>
          <t>Rate Enfrasys' skills, tools &amp; experience for each selected service (1–5 scale).</t>
        </is>
      </c>
    </row>
    <row r="21" ht="18" customHeight="1">
      <c r="B21" s="15" t="inlineStr">
        <is>
          <t>4  Risk Assessment</t>
        </is>
      </c>
      <c r="C21" t="inlineStr">
        <is>
          <t>Score each risk factor (1=Low, 5=High) across Development, Time and Operations dimensions.</t>
        </is>
      </c>
    </row>
    <row r="22" ht="18" customHeight="1">
      <c r="B22" s="16" t="inlineStr">
        <is>
          <t>Score each risk factor (1=Low, 5=High) across Development, Time and Operations dimensions.</t>
        </is>
      </c>
    </row>
    <row r="24" ht="18" customHeight="1">
      <c r="B24" s="15" t="inlineStr">
        <is>
          <t>5  Qualification Score</t>
        </is>
      </c>
      <c r="C24" t="inlineStr">
        <is>
          <t>View the auto-calculated RAG score, dimension breakdown, risk flags and recommendation.</t>
        </is>
      </c>
    </row>
    <row r="25" ht="18" customHeight="1">
      <c r="B25" s="16" t="inlineStr">
        <is>
          <t>View the auto-calculated RAG score, dimension breakdown, risk flags and recommendation.</t>
        </is>
      </c>
    </row>
  </sheetData>
  <mergeCells count="4">
    <mergeCell ref="B3:K6"/>
    <mergeCell ref="B2:C2"/>
    <mergeCell ref="B10:C10"/>
    <mergeCell ref="B7:C7"/>
  </mergeCell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tabColor rgb="FF1565C0"/>
    <outlinePr summaryBelow="1" summaryRight="1"/>
    <pageSetUpPr/>
  </sheetPr>
  <dimension ref="A1:I25"/>
  <sheetViews>
    <sheetView showGridLines="0" zoomScaleNormal="100" workbookViewId="0">
      <pane xSplit="1" ySplit="5" topLeftCell="B13" activePane="bottomRight" state="frozen"/>
      <selection pane="topRight" activeCell="B1" sqref="B1"/>
      <selection pane="bottomLeft" activeCell="A6" sqref="A6"/>
      <selection pane="bottomRight" activeCell="C11" sqref="C11"/>
    </sheetView>
  </sheetViews>
  <sheetFormatPr baseColWidth="8" defaultColWidth="8.6328125" defaultRowHeight="14.5"/>
  <cols>
    <col width="2" customWidth="1" min="1" max="1"/>
    <col width="30" customWidth="1" min="2" max="2"/>
    <col width="38" customWidth="1" min="3" max="3"/>
    <col width="30" customWidth="1" min="4" max="4"/>
    <col width="38" customWidth="1" min="5" max="5"/>
    <col width="2" customWidth="1" min="6" max="6"/>
  </cols>
  <sheetData>
    <row r="1" ht="9.75" customHeight="1">
      <c r="A1" s="14" t="n"/>
      <c r="B1" s="14" t="n"/>
      <c r="C1" s="14" t="n"/>
      <c r="D1" s="14" t="n"/>
      <c r="E1" s="14" t="n"/>
      <c r="F1" s="14" t="n"/>
      <c r="G1" s="14" t="n"/>
      <c r="H1" s="14" t="n"/>
      <c r="I1" s="14" t="n"/>
    </row>
    <row r="2" ht="36" customHeight="1">
      <c r="B2" s="10" t="inlineStr">
        <is>
          <t>STEP 1 — Deal Overview</t>
        </is>
      </c>
    </row>
    <row r="3" ht="15.75" customHeight="1">
      <c r="B3" s="9" t="inlineStr">
        <is>
          <t>Enter details about this opportunity. Fields with * are required.</t>
        </is>
      </c>
    </row>
    <row r="4" ht="9.75" customHeight="1"/>
    <row r="5" ht="21.75" customHeight="1">
      <c r="B5" s="8" t="inlineStr">
        <is>
          <t xml:space="preserve">  🏢  Customer Information</t>
        </is>
      </c>
    </row>
    <row r="7" ht="13.5" customHeight="1">
      <c r="B7" s="17" t="inlineStr">
        <is>
          <t>Customer / Organisation Name *</t>
        </is>
      </c>
      <c r="D7" s="17" t="inlineStr">
        <is>
          <t>Opportunity / Project Name *</t>
        </is>
      </c>
    </row>
    <row r="8" ht="19.5" customHeight="1">
      <c r="B8" s="18" t="inlineStr">
        <is>
          <t>e.g. Kementerian Kewangan Malaysia</t>
        </is>
      </c>
      <c r="D8" s="18" t="inlineStr">
        <is>
          <t>e.g. Cloud Migration Phase 1</t>
        </is>
      </c>
    </row>
    <row r="9" ht="13.5" customHeight="1">
      <c r="B9" s="17" t="inlineStr">
        <is>
          <t>Primary Contact Name</t>
        </is>
      </c>
      <c r="D9" s="17" t="inlineStr">
        <is>
          <t>Deal Stage</t>
        </is>
      </c>
    </row>
    <row r="10" ht="19.5" customHeight="1">
      <c r="B10" s="18" t="inlineStr">
        <is>
          <t>e.g. Encik Ahmad bin Razak</t>
        </is>
      </c>
      <c r="D10" s="18" t="n"/>
    </row>
    <row r="11" ht="13.5" customHeight="1">
      <c r="B11" s="17" t="inlineStr">
        <is>
          <t>Primary Contact Role *</t>
        </is>
      </c>
      <c r="D11" s="17" t="inlineStr">
        <is>
          <t>Estimated Deal Value (RM) *</t>
        </is>
      </c>
    </row>
    <row r="12" ht="19.5" customHeight="1">
      <c r="B12" s="18" t="n"/>
      <c r="D12" s="18" t="n"/>
    </row>
    <row r="13" ht="13.5" customHeight="1">
      <c r="B13" s="17" t="inlineStr">
        <is>
          <t>Sector *</t>
        </is>
      </c>
      <c r="D13" s="17" t="inlineStr">
        <is>
          <t>Project Timeline *</t>
        </is>
      </c>
    </row>
    <row r="14" ht="19.5" customHeight="1">
      <c r="B14" s="18" t="n"/>
      <c r="D14" s="18" t="n"/>
    </row>
    <row r="15" ht="13.5" customHeight="1">
      <c r="B15" s="17" t="inlineStr">
        <is>
          <t>Procurement Type</t>
        </is>
      </c>
      <c r="D15" s="17" t="inlineStr">
        <is>
          <t>Submission / Deadline Date</t>
        </is>
      </c>
    </row>
    <row r="16" ht="19.5" customHeight="1">
      <c r="B16" s="18" t="n"/>
      <c r="D16" s="18" t="n"/>
    </row>
    <row r="18" ht="21.75" customHeight="1">
      <c r="B18" s="8" t="inlineStr">
        <is>
          <t xml:space="preserve">  📝  Key Technical Requirements &amp; Notes</t>
        </is>
      </c>
    </row>
    <row r="19" ht="13.5" customHeight="1">
      <c r="B19" s="19" t="inlineStr">
        <is>
          <t>Describe the top 3–5 technical requirements the customer is asking for:</t>
        </is>
      </c>
    </row>
    <row r="20" ht="15.75" customHeight="1">
      <c r="B20" s="7" t="n"/>
      <c r="C20" s="51" t="n"/>
      <c r="D20" s="51" t="n"/>
      <c r="E20" s="51" t="n"/>
    </row>
    <row r="21" ht="15.75" customHeight="1">
      <c r="B21" s="52" t="n"/>
    </row>
    <row r="22" ht="15.75" customHeight="1">
      <c r="B22" s="52" t="n"/>
    </row>
    <row r="23" ht="15.75" customHeight="1">
      <c r="B23" s="52" t="n"/>
    </row>
    <row r="24" ht="15.75" customHeight="1">
      <c r="B24" s="52" t="n"/>
    </row>
    <row r="25" ht="15.75" customHeight="1">
      <c r="B25" s="52" t="n"/>
    </row>
  </sheetData>
  <mergeCells count="5">
    <mergeCell ref="B18:E18"/>
    <mergeCell ref="B3:E3"/>
    <mergeCell ref="B5:E5"/>
    <mergeCell ref="B20:E25"/>
    <mergeCell ref="B2:E2"/>
  </mergeCells>
  <dataValidations count="6">
    <dataValidation sqref="B12" showDropDown="0" showInputMessage="0" showErrorMessage="0" allowBlank="0" type="list">
      <formula1>"CIO/CTO,IT Director,IT Manager,Procurement Officer,Project Manager,C-Suite (non-IT),End User"</formula1>
      <formula2>0</formula2>
    </dataValidation>
    <dataValidation sqref="B14" showDropDown="0" showInputMessage="0" showErrorMessage="0" allowBlank="0" type="list">
      <formula1>"Government (Federal),Government (State/Local),Financial Services,Healthcare,Education,Oil &amp; Gas,Telecommunications,Manufacturing,Retail/FMCG,Commercial Enterprise,Other"</formula1>
      <formula2>0</formula2>
    </dataValidation>
    <dataValidation sqref="D10" showDropDown="0" showInputMessage="0" showErrorMessage="0" allowBlank="0" type="list">
      <formula1>"Initial Enquiry,RFP/ITT Received,Proof of Concept,Active Negotiation,Verbal Agreement"</formula1>
      <formula2>0</formula2>
    </dataValidation>
    <dataValidation sqref="D12" showDropDown="0" showInputMessage="0" showErrorMessage="0" allowBlank="0" type="list">
      <formula1>"Below RM 100K,RM 100K – RM 500K,RM 500K – RM 1M,RM 1M – RM 5M,Above RM 5M"</formula1>
      <formula2>0</formula2>
    </dataValidation>
    <dataValidation sqref="D14" showDropDown="0" showInputMessage="0" showErrorMessage="0" allowBlank="0" type="list">
      <formula1>"&lt; 1 month,1–3 months,3–6 months,6–12 months,&gt; 12 months"</formula1>
      <formula2>0</formula2>
    </dataValidation>
    <dataValidation sqref="B16" showDropDown="0" showInputMessage="0" showErrorMessage="0" allowBlank="0" type="list">
      <formula1>"Open Tender,Direct Negotiation,Quotation,Panel Contract,Framework Agreement,MyCloud / LAKSANA"</formula1>
      <formula2>0</formula2>
    </dataValidation>
  </dataValidation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tabColor rgb="FF0D47A1"/>
    <outlinePr summaryBelow="1" summaryRight="1"/>
    <pageSetUpPr/>
  </sheetPr>
  <dimension ref="A1:I27"/>
  <sheetViews>
    <sheetView showGridLines="0" topLeftCell="A19" zoomScaleNormal="100" workbookViewId="0">
      <selection activeCell="A1" sqref="A1"/>
    </sheetView>
  </sheetViews>
  <sheetFormatPr baseColWidth="8" defaultColWidth="8.6328125" defaultRowHeight="14.5"/>
  <cols>
    <col width="2" customWidth="1" min="1" max="1"/>
    <col width="32" customWidth="1" min="2" max="2"/>
    <col width="46" customWidth="1" min="3" max="3"/>
    <col width="14" customWidth="1" min="4" max="4"/>
    <col width="2" customWidth="1" min="5" max="5"/>
  </cols>
  <sheetData>
    <row r="1">
      <c r="A1" s="14" t="n"/>
      <c r="B1" s="14" t="n"/>
      <c r="C1" s="14" t="n"/>
      <c r="D1" s="14" t="n"/>
      <c r="E1" s="14" t="n"/>
      <c r="F1" s="14" t="n"/>
      <c r="G1" s="14" t="n"/>
      <c r="H1" s="14" t="n"/>
      <c r="I1" s="14" t="n"/>
    </row>
    <row r="2" ht="36" customHeight="1">
      <c r="B2" s="10" t="inlineStr">
        <is>
          <t>STEP 2 — Requirements Map</t>
        </is>
      </c>
    </row>
    <row r="3" ht="15.75" customHeight="1">
      <c r="B3" s="9" t="inlineStr">
        <is>
          <t>Select YES for each service area the customer requires. This drives the Capability Match sheet.</t>
        </is>
      </c>
    </row>
    <row r="4" ht="9.75" customHeight="1"/>
    <row r="5" ht="19.5" customHeight="1">
      <c r="B5" s="20" t="inlineStr">
        <is>
          <t>Service Area</t>
        </is>
      </c>
      <c r="C5" s="20" t="inlineStr">
        <is>
          <t>Description</t>
        </is>
      </c>
      <c r="D5" s="20" t="inlineStr">
        <is>
          <t>Required?</t>
        </is>
      </c>
    </row>
    <row r="6" ht="21.75" customHeight="1">
      <c r="B6" s="6" t="inlineStr">
        <is>
          <t xml:space="preserve">  ☁️  Cloud &amp; Infrastructure</t>
        </is>
      </c>
    </row>
    <row r="7" ht="21.75" customHeight="1">
      <c r="B7" s="21" t="inlineStr">
        <is>
          <t>Cloud Migration</t>
        </is>
      </c>
      <c r="C7" s="22" t="inlineStr">
        <is>
          <t>Lift &amp; shift, re-platform or re-architect to Azure</t>
        </is>
      </c>
      <c r="D7" s="23" t="inlineStr">
        <is>
          <t>YES</t>
        </is>
      </c>
    </row>
    <row r="8" ht="21.75" customHeight="1">
      <c r="B8" s="21" t="inlineStr">
        <is>
          <t>Azure Infrastructure</t>
        </is>
      </c>
      <c r="C8" s="22" t="inlineStr">
        <is>
          <t>IaaS, PaaS, VMs, networking, storage on Azure</t>
        </is>
      </c>
      <c r="D8" s="23" t="inlineStr">
        <is>
          <t>YES</t>
        </is>
      </c>
    </row>
    <row r="9" ht="21.75" customHeight="1">
      <c r="B9" s="21" t="inlineStr">
        <is>
          <t>Hybrid / Multi-Cloud</t>
        </is>
      </c>
      <c r="C9" s="22" t="inlineStr">
        <is>
          <t>On-premise + cloud integration, Azure Arc, ExpressRoute</t>
        </is>
      </c>
      <c r="D9" s="23" t="inlineStr">
        <is>
          <t>NO</t>
        </is>
      </c>
    </row>
    <row r="10" ht="21.75" customHeight="1">
      <c r="B10" s="21" t="inlineStr">
        <is>
          <t>Backup &amp; Disaster Recovery</t>
        </is>
      </c>
      <c r="C10" s="22" t="inlineStr">
        <is>
          <t>Azure Backup, Site Recovery, business continuity</t>
        </is>
      </c>
      <c r="D10" s="23" t="inlineStr">
        <is>
          <t>YES</t>
        </is>
      </c>
    </row>
    <row r="11" ht="21.75" customHeight="1">
      <c r="B11" s="6" t="inlineStr">
        <is>
          <t xml:space="preserve">  💻  Modern Work &amp; Productivity</t>
        </is>
      </c>
    </row>
    <row r="12" ht="21.75" customHeight="1">
      <c r="B12" s="21" t="inlineStr">
        <is>
          <t>Microsoft 365</t>
        </is>
      </c>
      <c r="C12" s="22" t="inlineStr">
        <is>
          <t>Exchange, Teams, SharePoint, OneDrive deployment</t>
        </is>
      </c>
      <c r="D12" s="23" t="inlineStr">
        <is>
          <t>YES</t>
        </is>
      </c>
    </row>
    <row r="13" ht="21.75" customHeight="1">
      <c r="B13" s="21" t="inlineStr">
        <is>
          <t>Modern Workplace</t>
        </is>
      </c>
      <c r="C13" s="22" t="inlineStr">
        <is>
          <t>Windows 365, AVD, Intune, device management</t>
        </is>
      </c>
      <c r="D13" s="23" t="inlineStr">
        <is>
          <t>NO</t>
        </is>
      </c>
    </row>
    <row r="14" ht="21.75" customHeight="1">
      <c r="B14" s="21" t="inlineStr">
        <is>
          <t>Power Platform</t>
        </is>
      </c>
      <c r="C14" s="22" t="inlineStr">
        <is>
          <t>Power Apps, Power Automate, Power BI</t>
        </is>
      </c>
      <c r="D14" s="23" t="inlineStr">
        <is>
          <t>YES</t>
        </is>
      </c>
    </row>
    <row r="15" ht="21.75" customHeight="1">
      <c r="B15" s="21" t="inlineStr">
        <is>
          <t>Application Modernization</t>
        </is>
      </c>
      <c r="C15" s="22" t="inlineStr">
        <is>
          <t>Legacy app re-architecture, containers, microservices</t>
        </is>
      </c>
      <c r="D15" s="23" t="inlineStr">
        <is>
          <t>NO</t>
        </is>
      </c>
    </row>
    <row r="16" ht="21.75" customHeight="1">
      <c r="B16" s="6" t="inlineStr">
        <is>
          <t xml:space="preserve">  🔒  Security &amp; Compliance</t>
        </is>
      </c>
    </row>
    <row r="17" ht="21.75" customHeight="1">
      <c r="B17" s="21" t="inlineStr">
        <is>
          <t>Zero Trust Security</t>
        </is>
      </c>
      <c r="C17" s="22" t="inlineStr">
        <is>
          <t>Identity, conditional access, MFA, Microsoft Sentinel</t>
        </is>
      </c>
      <c r="D17" s="23" t="inlineStr">
        <is>
          <t>YES</t>
        </is>
      </c>
    </row>
    <row r="18" ht="21.75" customHeight="1">
      <c r="B18" s="21" t="inlineStr">
        <is>
          <t>Endpoint &amp; Threat Protection</t>
        </is>
      </c>
      <c r="C18" s="22" t="inlineStr">
        <is>
          <t>Defender suite, EDR/XDR, threat hunting</t>
        </is>
      </c>
      <c r="D18" s="23" t="inlineStr">
        <is>
          <t>NO</t>
        </is>
      </c>
    </row>
    <row r="19" ht="21.75" customHeight="1">
      <c r="B19" s="21" t="inlineStr">
        <is>
          <t>Compliance &amp; Governance</t>
        </is>
      </c>
      <c r="C19" s="22" t="inlineStr">
        <is>
          <t>PDPA, ISO 27001, data classification, Purview</t>
        </is>
      </c>
      <c r="D19" s="23" t="inlineStr">
        <is>
          <t>NO</t>
        </is>
      </c>
    </row>
    <row r="20" ht="21.75" customHeight="1">
      <c r="B20" s="21" t="inlineStr">
        <is>
          <t>Identity &amp; Access Management</t>
        </is>
      </c>
      <c r="C20" s="22" t="inlineStr">
        <is>
          <t>Azure AD, SSO, PIM, B2B/B2C identity</t>
        </is>
      </c>
      <c r="D20" s="23" t="inlineStr">
        <is>
          <t>NO</t>
        </is>
      </c>
    </row>
    <row r="21" ht="21.75" customHeight="1">
      <c r="B21" s="6" t="inlineStr">
        <is>
          <t xml:space="preserve">  📊  Data &amp; Managed Services</t>
        </is>
      </c>
    </row>
    <row r="22" ht="21.75" customHeight="1">
      <c r="B22" s="21" t="inlineStr">
        <is>
          <t>Data &amp; Analytics</t>
        </is>
      </c>
      <c r="C22" s="22" t="inlineStr">
        <is>
          <t>Azure Data Factory, Synapse, Fabric, IoT, AI/ML</t>
        </is>
      </c>
      <c r="D22" s="23" t="inlineStr">
        <is>
          <t>YES</t>
        </is>
      </c>
    </row>
    <row r="23" ht="21.75" customHeight="1">
      <c r="B23" s="21" t="inlineStr">
        <is>
          <t>Managed Services</t>
        </is>
      </c>
      <c r="C23" s="22" t="inlineStr">
        <is>
          <t>NOC/SOC, L1–L3 support, SLA-based operations</t>
        </is>
      </c>
      <c r="D23" s="23" t="inlineStr">
        <is>
          <t>YES</t>
        </is>
      </c>
    </row>
    <row r="24" ht="21.75" customHeight="1">
      <c r="B24" s="21" t="inlineStr">
        <is>
          <t>Advisory &amp; Strategy</t>
        </is>
      </c>
      <c r="C24" s="22" t="inlineStr">
        <is>
          <t>Digital roadmap, architecture design, change management</t>
        </is>
      </c>
      <c r="D24" s="23" t="inlineStr">
        <is>
          <t>NO</t>
        </is>
      </c>
    </row>
    <row r="25" ht="21.75" customHeight="1">
      <c r="B25" s="21" t="inlineStr">
        <is>
          <t>Training &amp; Adoption</t>
        </is>
      </c>
      <c r="C25" s="22" t="inlineStr">
        <is>
          <t>End-user training, LMS, change adoption programmes</t>
        </is>
      </c>
      <c r="D25" s="23" t="inlineStr">
        <is>
          <t>NO</t>
        </is>
      </c>
    </row>
    <row r="26"/>
    <row r="27" ht="19.5" customHeight="1">
      <c r="B27" s="5" t="inlineStr">
        <is>
          <t>Total Services Selected:</t>
        </is>
      </c>
      <c r="D27" s="24">
        <f>COUNTIF(D6:D25,"YES")</f>
        <v/>
      </c>
    </row>
  </sheetData>
  <mergeCells count="7">
    <mergeCell ref="B11:D11"/>
    <mergeCell ref="B3:D3"/>
    <mergeCell ref="B2:D2"/>
    <mergeCell ref="B21:D21"/>
    <mergeCell ref="B27:C27"/>
    <mergeCell ref="B6:D6"/>
    <mergeCell ref="B16:D16"/>
  </mergeCells>
  <conditionalFormatting sqref="D6:D25">
    <cfRule type="cellIs" priority="2" operator="equal" dxfId="0">
      <formula>"YES"</formula>
    </cfRule>
    <cfRule type="cellIs" priority="3" operator="equal" dxfId="2">
      <formula>"NO"</formula>
    </cfRule>
  </conditionalFormatting>
  <dataValidations count="2">
    <dataValidation sqref="D7:D10 D12:D15 D17:D20 D22:D25" showDropDown="0" showInputMessage="0" showErrorMessage="0" allowBlank="0" type="list">
      <formula1>"YES,NO"</formula1>
      <formula2>0</formula2>
    </dataValidation>
    <dataValidation sqref="D7 D8 D9 D10 D11 D12 D13 D14 D15 D16 D17 D18 D19 D20 D21 D22 D23 D24 D25 D26" showDropDown="0" showInputMessage="0" showErrorMessage="0" allowBlank="1" prompt="Select YES if customer requires this service, otherwise NO." type="list">
      <formula1>"YES,NO"</formula1>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tabColor rgb="FF006064"/>
    <outlinePr summaryBelow="1" summaryRight="1"/>
    <pageSetUpPr/>
  </sheetPr>
  <dimension ref="A1:I28"/>
  <sheetViews>
    <sheetView showGridLines="0" zoomScaleNormal="100" workbookViewId="0">
      <pane xSplit="2" ySplit="5" topLeftCell="C19" activePane="bottomRight" state="frozen"/>
      <selection pane="topRight" activeCell="C1" sqref="C1"/>
      <selection pane="bottomLeft" activeCell="A6" sqref="A6"/>
      <selection pane="bottomRight" activeCell="A1" sqref="A1"/>
    </sheetView>
  </sheetViews>
  <sheetFormatPr baseColWidth="8" defaultColWidth="8.6328125" defaultRowHeight="14.5"/>
  <cols>
    <col width="2" customWidth="1" min="1" max="1"/>
    <col width="30" customWidth="1" min="2" max="2"/>
    <col width="20" customWidth="1" min="3" max="4"/>
    <col width="22" customWidth="1" min="5" max="5"/>
    <col width="14" customWidth="1" min="6" max="6"/>
    <col width="2" customWidth="1" min="7" max="7"/>
  </cols>
  <sheetData>
    <row r="1">
      <c r="A1" s="14" t="n"/>
      <c r="B1" s="14" t="n"/>
      <c r="C1" s="14" t="n"/>
      <c r="D1" s="14" t="n"/>
      <c r="E1" s="14" t="n"/>
      <c r="F1" s="14" t="n"/>
      <c r="G1" s="14" t="n"/>
      <c r="H1" s="14" t="n"/>
      <c r="I1" s="14" t="n"/>
    </row>
    <row r="2" ht="36" customHeight="1">
      <c r="B2" s="10" t="inlineStr">
        <is>
          <t>STEP 3 — Capability Match</t>
        </is>
      </c>
    </row>
    <row r="3" ht="15.75" customHeight="1">
      <c r="B3" s="9" t="inlineStr">
        <is>
          <t>Rate Enfrasys' readiness for each service (1=Very Low  2=Low  3=Moderate  4=High  5=Excellent)</t>
        </is>
      </c>
    </row>
    <row r="4" ht="9.75" customHeight="1"/>
    <row r="5" ht="30" customHeight="1">
      <c r="B5" s="20" t="inlineStr">
        <is>
          <t>Service Area</t>
        </is>
      </c>
      <c r="C5" s="25" t="inlineStr">
        <is>
          <t>Team Skills
&amp; Certs (1–5)</t>
        </is>
      </c>
      <c r="D5" s="25" t="inlineStr">
        <is>
          <t>Tools &amp; Licenses
(1–5)</t>
        </is>
      </c>
      <c r="E5" s="25" t="inlineStr">
        <is>
          <t>Project Experience
(1–5)</t>
        </is>
      </c>
      <c r="F5" s="25" t="inlineStr">
        <is>
          <t>Avg Cap.
Score</t>
        </is>
      </c>
    </row>
    <row r="6" ht="19.5" customHeight="1">
      <c r="B6" s="6" t="inlineStr">
        <is>
          <t xml:space="preserve">  ☁️  Cloud &amp; Infrastructure</t>
        </is>
      </c>
    </row>
    <row r="7" ht="24" customHeight="1">
      <c r="B7" s="26" t="inlineStr">
        <is>
          <t>Cloud Migration</t>
        </is>
      </c>
      <c r="C7" s="27" t="n">
        <v>4</v>
      </c>
      <c r="D7" s="27" t="n">
        <v>4</v>
      </c>
      <c r="E7" s="27" t="n">
        <v>4</v>
      </c>
      <c r="F7" s="28">
        <f>AVERAGE(C7:E7)</f>
        <v/>
      </c>
    </row>
    <row r="8" ht="24" customHeight="1">
      <c r="B8" s="26" t="inlineStr">
        <is>
          <t>Azure Infrastructure</t>
        </is>
      </c>
      <c r="C8" s="27" t="n">
        <v>4</v>
      </c>
      <c r="D8" s="27" t="n">
        <v>4</v>
      </c>
      <c r="E8" s="27" t="n">
        <v>4</v>
      </c>
      <c r="F8" s="28">
        <f>AVERAGE(C8:E8)</f>
        <v/>
      </c>
    </row>
    <row r="9" ht="24" customHeight="1">
      <c r="B9" s="26" t="inlineStr">
        <is>
          <t>Hybrid / Multi-Cloud</t>
        </is>
      </c>
      <c r="C9" s="27">
        <f>IF('2 Requirements Map'!D9="YES",3,"-")</f>
        <v/>
      </c>
      <c r="D9" s="27">
        <f>IF('2 Requirements Map'!D9="YES",3,"-")</f>
        <v/>
      </c>
      <c r="E9" s="27">
        <f>IF('2 Requirements Map'!D9="YES",3,"-")</f>
        <v/>
      </c>
      <c r="F9" s="28">
        <f>IF('2 Requirements Map'!D9="YES",IFERROR((C9+D9+E9)/3,"-"),"-")</f>
        <v/>
      </c>
    </row>
    <row r="10" ht="24" customHeight="1">
      <c r="B10" s="26" t="inlineStr">
        <is>
          <t>Backup &amp; Disaster Recovery</t>
        </is>
      </c>
      <c r="C10" s="27" t="n">
        <v>4</v>
      </c>
      <c r="D10" s="27" t="n">
        <v>4</v>
      </c>
      <c r="E10" s="27" t="n">
        <v>4</v>
      </c>
      <c r="F10" s="28">
        <f>AVERAGE(C10:E10)</f>
        <v/>
      </c>
    </row>
    <row r="11" ht="19.5" customHeight="1">
      <c r="B11" s="6" t="inlineStr">
        <is>
          <t xml:space="preserve">  💻  Modern Work &amp; Productivity</t>
        </is>
      </c>
    </row>
    <row r="12" ht="24" customHeight="1">
      <c r="B12" s="26" t="inlineStr">
        <is>
          <t>Microsoft 365</t>
        </is>
      </c>
      <c r="C12" s="27" t="n">
        <v>4</v>
      </c>
      <c r="D12" s="27" t="n">
        <v>4</v>
      </c>
      <c r="E12" s="27" t="n">
        <v>4</v>
      </c>
      <c r="F12" s="28">
        <f>AVERAGE(C12:E12)</f>
        <v/>
      </c>
    </row>
    <row r="13" ht="24" customHeight="1">
      <c r="B13" s="26" t="inlineStr">
        <is>
          <t>Modern Workplace</t>
        </is>
      </c>
      <c r="C13" s="27">
        <f>IF('2 Requirements Map'!D13="YES",3,"-")</f>
        <v/>
      </c>
      <c r="D13" s="27">
        <f>IF('2 Requirements Map'!D13="YES",3,"-")</f>
        <v/>
      </c>
      <c r="E13" s="27">
        <f>IF('2 Requirements Map'!D13="YES",3,"-")</f>
        <v/>
      </c>
      <c r="F13" s="28">
        <f>IF('2 Requirements Map'!D13="YES",IFERROR((C13+D13+E13)/3,"-"),"-")</f>
        <v/>
      </c>
    </row>
    <row r="14" ht="24" customHeight="1">
      <c r="B14" s="26" t="inlineStr">
        <is>
          <t>Power Platform</t>
        </is>
      </c>
      <c r="C14" s="27" t="n">
        <v>3</v>
      </c>
      <c r="D14" s="27" t="n">
        <v>3</v>
      </c>
      <c r="E14" s="27" t="n">
        <v>3</v>
      </c>
      <c r="F14" s="28">
        <f>AVERAGE(C14:E14)</f>
        <v/>
      </c>
    </row>
    <row r="15" ht="24" customHeight="1">
      <c r="B15" s="26" t="inlineStr">
        <is>
          <t>Application Modernization</t>
        </is>
      </c>
      <c r="C15" s="27">
        <f>IF('2 Requirements Map'!D15="YES",3,"-")</f>
        <v/>
      </c>
      <c r="D15" s="27">
        <f>IF('2 Requirements Map'!D15="YES",3,"-")</f>
        <v/>
      </c>
      <c r="E15" s="27">
        <f>IF('2 Requirements Map'!D15="YES",3,"-")</f>
        <v/>
      </c>
      <c r="F15" s="28">
        <f>IF('2 Requirements Map'!D15="YES",IFERROR((C15+D15+E15)/3,"-"),"-")</f>
        <v/>
      </c>
    </row>
    <row r="16" ht="19.5" customHeight="1">
      <c r="B16" s="6" t="inlineStr">
        <is>
          <t xml:space="preserve">  🔒  Security &amp; Compliance</t>
        </is>
      </c>
    </row>
    <row r="17" ht="24" customHeight="1">
      <c r="B17" s="26" t="inlineStr">
        <is>
          <t>Zero Trust Security</t>
        </is>
      </c>
      <c r="C17" s="27" t="n">
        <v>3</v>
      </c>
      <c r="D17" s="27" t="n">
        <v>3</v>
      </c>
      <c r="E17" s="27" t="n">
        <v>3</v>
      </c>
      <c r="F17" s="28">
        <f>AVERAGE(C17:E17)</f>
        <v/>
      </c>
    </row>
    <row r="18" ht="24" customHeight="1">
      <c r="B18" s="26" t="inlineStr">
        <is>
          <t>Endpoint &amp; Threat Protection</t>
        </is>
      </c>
      <c r="C18" s="27">
        <f>IF('2 Requirements Map'!D18="YES",3,"-")</f>
        <v/>
      </c>
      <c r="D18" s="27">
        <f>IF('2 Requirements Map'!D18="YES",3,"-")</f>
        <v/>
      </c>
      <c r="E18" s="27">
        <f>IF('2 Requirements Map'!D18="YES",3,"-")</f>
        <v/>
      </c>
      <c r="F18" s="28">
        <f>IF('2 Requirements Map'!D18="YES",IFERROR((C18+D18+E18)/3,"-"),"-")</f>
        <v/>
      </c>
    </row>
    <row r="19" ht="24" customHeight="1">
      <c r="B19" s="26" t="inlineStr">
        <is>
          <t>Compliance &amp; Governance</t>
        </is>
      </c>
      <c r="C19" s="27">
        <f>IF('2 Requirements Map'!D19="YES",3,"-")</f>
        <v/>
      </c>
      <c r="D19" s="27">
        <f>IF('2 Requirements Map'!D19="YES",3,"-")</f>
        <v/>
      </c>
      <c r="E19" s="27">
        <f>IF('2 Requirements Map'!D19="YES",3,"-")</f>
        <v/>
      </c>
      <c r="F19" s="28">
        <f>IF('2 Requirements Map'!D19="YES",IFERROR((C19+D19+E19)/3,"-"),"-")</f>
        <v/>
      </c>
    </row>
    <row r="20" ht="24" customHeight="1">
      <c r="B20" s="26" t="inlineStr">
        <is>
          <t>Identity &amp; Access Management</t>
        </is>
      </c>
      <c r="C20" s="27">
        <f>IF('2 Requirements Map'!D20="YES",3,"-")</f>
        <v/>
      </c>
      <c r="D20" s="27">
        <f>IF('2 Requirements Map'!D20="YES",3,"-")</f>
        <v/>
      </c>
      <c r="E20" s="27">
        <f>IF('2 Requirements Map'!D20="YES",3,"-")</f>
        <v/>
      </c>
      <c r="F20" s="28">
        <f>IF('2 Requirements Map'!D20="YES",IFERROR((C20+D20+E20)/3,"-"),"-")</f>
        <v/>
      </c>
    </row>
    <row r="21" ht="19.5" customHeight="1">
      <c r="B21" s="6" t="inlineStr">
        <is>
          <t xml:space="preserve">  📊  Data &amp; Managed Services</t>
        </is>
      </c>
    </row>
    <row r="22" ht="24" customHeight="1">
      <c r="B22" s="26" t="inlineStr">
        <is>
          <t>Data &amp; Analytics</t>
        </is>
      </c>
      <c r="C22" s="27" t="n">
        <v>4</v>
      </c>
      <c r="D22" s="27" t="n">
        <v>3</v>
      </c>
      <c r="E22" s="27" t="n">
        <v>3</v>
      </c>
      <c r="F22" s="28">
        <f>AVERAGE(C22:E22)</f>
        <v/>
      </c>
    </row>
    <row r="23" ht="24" customHeight="1">
      <c r="B23" s="26" t="inlineStr">
        <is>
          <t>Managed Services</t>
        </is>
      </c>
      <c r="C23" s="27" t="n">
        <v>4</v>
      </c>
      <c r="D23" s="27" t="n">
        <v>4</v>
      </c>
      <c r="E23" s="27" t="n">
        <v>4</v>
      </c>
      <c r="F23" s="28">
        <f>AVERAGE(C23:E23)</f>
        <v/>
      </c>
    </row>
    <row r="24" ht="24" customHeight="1">
      <c r="B24" s="26" t="inlineStr">
        <is>
          <t>Advisory &amp; Strategy</t>
        </is>
      </c>
      <c r="C24" s="27">
        <f>IF('2 Requirements Map'!D24="YES",3,"-")</f>
        <v/>
      </c>
      <c r="D24" s="27">
        <f>IF('2 Requirements Map'!D24="YES",3,"-")</f>
        <v/>
      </c>
      <c r="E24" s="27">
        <f>IF('2 Requirements Map'!D24="YES",3,"-")</f>
        <v/>
      </c>
      <c r="F24" s="28">
        <f>IF('2 Requirements Map'!D24="YES",IFERROR((C24+D24+E24)/3,"-"),"-")</f>
        <v/>
      </c>
    </row>
    <row r="25" ht="24" customHeight="1">
      <c r="B25" s="26" t="inlineStr">
        <is>
          <t>Training &amp; Adoption</t>
        </is>
      </c>
      <c r="C25" s="27">
        <f>IF('2 Requirements Map'!D25="YES",3,"-")</f>
        <v/>
      </c>
      <c r="D25" s="27">
        <f>IF('2 Requirements Map'!D25="YES",3,"-")</f>
        <v/>
      </c>
      <c r="E25" s="27">
        <f>IF('2 Requirements Map'!D25="YES",3,"-")</f>
        <v/>
      </c>
      <c r="F25" s="28">
        <f>IF('2 Requirements Map'!D25="YES",IFERROR((C25+D25+E25)/3,"-"),"-")</f>
        <v/>
      </c>
    </row>
    <row r="27" ht="21.75" customHeight="1">
      <c r="B27" s="5" t="inlineStr">
        <is>
          <t>Overall Capability Score (selected services only):</t>
        </is>
      </c>
      <c r="F27" s="29">
        <f>IFERROR(AVERAGEIF('2 Requirements Map'!D6:D25,"YES",F6:F25),"-")</f>
        <v/>
      </c>
    </row>
    <row r="28" ht="13.5" customHeight="1">
      <c r="B28" s="19" t="inlineStr">
        <is>
          <t>Score guide: 1–2.4 = Low (red)   |   2.5–3.9 = Moderate (amber)   |   4–5 = Strong (green)</t>
        </is>
      </c>
    </row>
  </sheetData>
  <mergeCells count="8">
    <mergeCell ref="B21:F21"/>
    <mergeCell ref="B27:E27"/>
    <mergeCell ref="B6:F6"/>
    <mergeCell ref="B16:F16"/>
    <mergeCell ref="B2:F2"/>
    <mergeCell ref="B28:F28"/>
    <mergeCell ref="B11:F11"/>
    <mergeCell ref="B3:F3"/>
  </mergeCells>
  <conditionalFormatting sqref="F7:F10">
    <cfRule type="cellIs" priority="2" operator="greaterThanOrEqual" dxfId="0">
      <formula>4</formula>
    </cfRule>
    <cfRule type="cellIs" priority="3" operator="between" dxfId="1">
      <formula>2.5</formula>
      <formula>3.99</formula>
    </cfRule>
    <cfRule type="cellIs" priority="4" operator="lessThan" dxfId="2">
      <formula>2.5</formula>
    </cfRule>
  </conditionalFormatting>
  <conditionalFormatting sqref="F12:F15">
    <cfRule type="cellIs" priority="15" operator="between" dxfId="1">
      <formula>2.5</formula>
      <formula>3.99</formula>
    </cfRule>
    <cfRule type="cellIs" priority="16" operator="lessThan" dxfId="2">
      <formula>2.5</formula>
    </cfRule>
    <cfRule type="cellIs" priority="14" operator="greaterThanOrEqual" dxfId="0">
      <formula>4</formula>
    </cfRule>
  </conditionalFormatting>
  <conditionalFormatting sqref="F17:F20">
    <cfRule type="cellIs" priority="26" operator="greaterThanOrEqual" dxfId="0">
      <formula>4</formula>
    </cfRule>
    <cfRule type="cellIs" priority="27" operator="between" dxfId="1">
      <formula>2.5</formula>
      <formula>3.99</formula>
    </cfRule>
    <cfRule type="cellIs" priority="28" operator="lessThan" dxfId="2">
      <formula>2.5</formula>
    </cfRule>
  </conditionalFormatting>
  <conditionalFormatting sqref="F22:F25">
    <cfRule type="cellIs" priority="38" operator="greaterThanOrEqual" dxfId="0">
      <formula>4</formula>
    </cfRule>
    <cfRule type="cellIs" priority="39" operator="between" dxfId="1">
      <formula>2.5</formula>
      <formula>3.99</formula>
    </cfRule>
    <cfRule type="cellIs" priority="40" operator="lessThan" dxfId="2">
      <formula>2.5</formula>
    </cfRule>
  </conditionalFormatting>
  <dataValidations count="2">
    <dataValidation sqref="C7:E10 C12:E15 C17:E20 C22:E25" showDropDown="0" showInputMessage="0" showErrorMessage="1" allowBlank="0" errorTitle="Invalid Score" error="Please enter a whole number between 1 and 5." type="whole">
      <formula1>1</formula1>
      <formula2>5</formula2>
    </dataValidation>
    <dataValidation sqref="C7 C8 C10 C12 C14 C17 C22 C23 D7 D8 D10 D12 D14 D17 D22 D23 E7 E8 E10 E12 E14 E17 E22 E23" showDropDown="0" showInputMessage="0" showErrorMessage="0" allowBlank="1" prompt="Enter a score between 1 and 5 (1=Very Low, 5=Excellent)." type="whole" operator="between">
      <formula1>1</formula1>
      <formula2>5</formula2>
    </dataValidation>
  </dataValidation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tabColor rgb="FF4A1D96"/>
    <outlinePr summaryBelow="1" summaryRight="1"/>
    <pageSetUpPr/>
  </sheetPr>
  <dimension ref="A1:G27"/>
  <sheetViews>
    <sheetView showGridLines="0" zoomScaleNormal="100" workbookViewId="0">
      <pane xSplit="1" ySplit="5" topLeftCell="B6" activePane="bottomRight" state="frozen"/>
      <selection pane="topRight" activeCell="B1" sqref="B1"/>
      <selection pane="bottomLeft" activeCell="A6" sqref="A6"/>
      <selection pane="bottomRight" activeCell="A1" sqref="A1"/>
    </sheetView>
  </sheetViews>
  <sheetFormatPr baseColWidth="8" defaultColWidth="8.6328125" defaultRowHeight="14.5"/>
  <cols>
    <col width="2" customWidth="1" min="1" max="1"/>
    <col width="38" customWidth="1" min="2" max="2"/>
    <col width="14" customWidth="1" min="3" max="3"/>
    <col width="52" customWidth="1" min="4" max="4"/>
    <col width="2" customWidth="1" min="5" max="5"/>
  </cols>
  <sheetData>
    <row r="1">
      <c r="A1" s="14" t="n"/>
      <c r="B1" s="14" t="n"/>
      <c r="C1" s="14" t="n"/>
      <c r="D1" s="14" t="n"/>
      <c r="E1" s="14" t="n"/>
      <c r="F1" s="14" t="n"/>
      <c r="G1" s="14" t="n"/>
    </row>
    <row r="2" ht="36" customHeight="1">
      <c r="B2" s="10" t="inlineStr">
        <is>
          <t>STEP 4 — Risk Assessment Matrix</t>
        </is>
      </c>
    </row>
    <row r="3" ht="15.75" customHeight="1">
      <c r="B3" s="9" t="inlineStr">
        <is>
          <t>Score each risk factor 1 (Low Risk) → 5 (High Risk). These are formula-driven in the results sheet.</t>
        </is>
      </c>
    </row>
    <row r="4" ht="9.75" customHeight="1"/>
    <row r="5" ht="27.75" customHeight="1">
      <c r="B5" s="20" t="inlineStr">
        <is>
          <t>Risk Factor</t>
        </is>
      </c>
      <c r="C5" s="25" t="inlineStr">
        <is>
          <t>Score
(1–5)</t>
        </is>
      </c>
      <c r="D5" s="20" t="inlineStr">
        <is>
          <t>Guidance</t>
        </is>
      </c>
    </row>
    <row r="6" ht="21.75" customHeight="1">
      <c r="B6" s="3" t="inlineStr">
        <is>
          <t xml:space="preserve">  ⚙️  DEVELOPMENT RISK</t>
        </is>
      </c>
    </row>
    <row r="7" ht="30" customHeight="1">
      <c r="B7" s="30" t="inlineStr">
        <is>
          <t>Skill availability for this engagement</t>
        </is>
      </c>
      <c r="C7" s="31" t="n">
        <v>2</v>
      </c>
      <c r="D7" s="32" t="inlineStr">
        <is>
          <t>1 = Team fully capable   |   3 = Partial gap, upskilling needed   |   5 = Critical skill gap</t>
        </is>
      </c>
    </row>
    <row r="8" ht="30" customHeight="1">
      <c r="B8" s="30" t="inlineStr">
        <is>
          <t>Tool &amp; technology readiness</t>
        </is>
      </c>
      <c r="C8" s="31" t="n">
        <v>2</v>
      </c>
      <c r="D8" s="32" t="inlineStr">
        <is>
          <t>1 = All tools/licenses ready   |   3 = Some procurement needed   |   5 = Major procurement required</t>
        </is>
      </c>
    </row>
    <row r="9" ht="30" customHeight="1">
      <c r="B9" s="30" t="inlineStr">
        <is>
          <t>Third-party / vendor dependency</t>
        </is>
      </c>
      <c r="C9" s="31" t="n">
        <v>2</v>
      </c>
      <c r="D9" s="32" t="inlineStr">
        <is>
          <t>1 = Fully self-sufficient   |   3 = Some 3rd party reliance   |   5 = Heavy vendor dependency</t>
        </is>
      </c>
    </row>
    <row r="10" ht="30" customHeight="1">
      <c r="B10" s="30" t="inlineStr">
        <is>
          <t>Solution complexity &amp; innovation</t>
        </is>
      </c>
      <c r="C10" s="31" t="n">
        <v>3</v>
      </c>
      <c r="D10" s="32" t="inlineStr">
        <is>
          <t>1 = Standard off-the-shelf solution   |   3 = Custom build required   |   5 = Highly novel / R&amp;D needed</t>
        </is>
      </c>
    </row>
    <row r="11" ht="13.5" customHeight="1"/>
    <row r="12" ht="21.75" customHeight="1">
      <c r="B12" s="2" t="inlineStr">
        <is>
          <t xml:space="preserve">  ⏱️  TIME RISK</t>
        </is>
      </c>
    </row>
    <row r="13" ht="30" customHeight="1">
      <c r="B13" s="30" t="inlineStr">
        <is>
          <t>Deadline feasibility</t>
        </is>
      </c>
      <c r="C13" s="31" t="n">
        <v>3</v>
      </c>
      <c r="D13" s="32" t="inlineStr">
        <is>
          <t>1 = Comfortable timeline   |   3 = Tight but achievable   |   5 = Deadline is not achievable</t>
        </is>
      </c>
    </row>
    <row r="14" ht="30" customHeight="1">
      <c r="B14" s="30" t="inlineStr">
        <is>
          <t>Resource &amp; team availability</t>
        </is>
      </c>
      <c r="C14" s="31" t="n">
        <v>3</v>
      </c>
      <c r="D14" s="32" t="inlineStr">
        <is>
          <t>1 = Full team available now   |   3 = Partial availability   |   5 = No bandwidth at all</t>
        </is>
      </c>
    </row>
    <row r="15" ht="30" customHeight="1">
      <c r="B15" s="30" t="inlineStr">
        <is>
          <t>Procurement &amp; approval lead time</t>
        </is>
      </c>
      <c r="C15" s="31" t="n">
        <v>3</v>
      </c>
      <c r="D15" s="32" t="inlineStr">
        <is>
          <t>1 = No blockers expected   |   3 = Some govt approvals needed   |   5 = Long approval cycles expected</t>
        </is>
      </c>
    </row>
    <row r="16" ht="30" customHeight="1">
      <c r="B16" s="30" t="inlineStr">
        <is>
          <t>Concurrent project load</t>
        </is>
      </c>
      <c r="C16" s="31" t="n">
        <v>2</v>
      </c>
      <c r="D16" s="32" t="inlineStr">
        <is>
          <t>1 = Team is free   |   3 = Managing 1–2 other projects   |   5 = Severely overloaded</t>
        </is>
      </c>
    </row>
    <row r="17" ht="13.5" customHeight="1"/>
    <row r="18" ht="21.75" customHeight="1">
      <c r="B18" s="1" t="inlineStr">
        <is>
          <t xml:space="preserve">  🔧  OPERATIONS RISK</t>
        </is>
      </c>
    </row>
    <row r="19" ht="30" customHeight="1">
      <c r="B19" s="30" t="inlineStr">
        <is>
          <t>SLA commitment feasibility</t>
        </is>
      </c>
      <c r="C19" s="31" t="n">
        <v>2</v>
      </c>
      <c r="D19" s="32" t="inlineStr">
        <is>
          <t>1 = SLAs easily met with current team   |   3 = Stretch but possible   |   5 = Cannot meet SLAs</t>
        </is>
      </c>
    </row>
    <row r="20" ht="30" customHeight="1">
      <c r="B20" s="30" t="inlineStr">
        <is>
          <t>Post-delivery support capacity</t>
        </is>
      </c>
      <c r="C20" s="31" t="n">
        <v>2</v>
      </c>
      <c r="D20" s="32" t="inlineStr">
        <is>
          <t>1 = Full support capacity available   |   3 = Partial capacity   |   5 = No support bandwidth</t>
        </is>
      </c>
    </row>
    <row r="21" ht="30" customHeight="1">
      <c r="B21" s="30" t="inlineStr">
        <is>
          <t>Customer IT maturity</t>
        </is>
      </c>
      <c r="C21" s="31" t="n">
        <v>3</v>
      </c>
      <c r="D21" s="32" t="inlineStr">
        <is>
          <t>1 = Highly capable IT team   |   3 = Moderate maturity   |   5 = Very low — high support burden</t>
        </is>
      </c>
    </row>
    <row r="22" ht="30" customHeight="1">
      <c r="B22" s="30" t="inlineStr">
        <is>
          <t>Escalation &amp; runbook readiness</t>
        </is>
      </c>
      <c r="C22" s="31" t="n">
        <v>3</v>
      </c>
      <c r="D22" s="32" t="inlineStr">
        <is>
          <t>1 = Fully documented playbooks   |   3 = Partial docs   |   5 = No runbooks exist</t>
        </is>
      </c>
    </row>
    <row r="23" ht="13.5" customHeight="1"/>
    <row r="24" ht="21.75" customHeight="1">
      <c r="B24" s="43" t="inlineStr">
        <is>
          <t xml:space="preserve">  📊  Dimension Averages (auto-calculated)</t>
        </is>
      </c>
    </row>
    <row r="25" ht="21.75" customHeight="1">
      <c r="B25" s="33" t="inlineStr">
        <is>
          <t>⚙️ Development Risk (35% weight)</t>
        </is>
      </c>
      <c r="C25" s="34">
        <f>AVERAGE(C7:C10)</f>
        <v/>
      </c>
      <c r="D25" s="35" t="inlineStr">
        <is>
          <t>Weight: 35%</t>
        </is>
      </c>
    </row>
    <row r="26" ht="21.75" customHeight="1">
      <c r="B26" s="33" t="inlineStr">
        <is>
          <t>⏱️ Time Risk (35% weight)</t>
        </is>
      </c>
      <c r="C26" s="34">
        <f>AVERAGE(C13:C16)</f>
        <v/>
      </c>
      <c r="D26" s="35" t="inlineStr">
        <is>
          <t>Weight: 35%</t>
        </is>
      </c>
    </row>
    <row r="27" ht="21.75" customHeight="1">
      <c r="B27" s="33" t="inlineStr">
        <is>
          <t>🔧 Operations Risk (30% weight)</t>
        </is>
      </c>
      <c r="C27" s="34">
        <f>AVERAGE(C19:C22)</f>
        <v/>
      </c>
      <c r="D27" s="35" t="inlineStr">
        <is>
          <t>Weight: 30%</t>
        </is>
      </c>
    </row>
  </sheetData>
  <mergeCells count="6">
    <mergeCell ref="B3:D3"/>
    <mergeCell ref="B18:D18"/>
    <mergeCell ref="B12:D12"/>
    <mergeCell ref="B6:D6"/>
    <mergeCell ref="B24:D24"/>
    <mergeCell ref="B2:D2"/>
  </mergeCells>
  <conditionalFormatting sqref="C7:C10">
    <cfRule type="cellIs" priority="2" operator="greaterThanOrEqual" dxfId="2">
      <formula>4</formula>
    </cfRule>
    <cfRule type="cellIs" priority="3" operator="equal" dxfId="1">
      <formula>3</formula>
    </cfRule>
    <cfRule type="cellIs" priority="4" operator="lessThanOrEqual" dxfId="0">
      <formula>2</formula>
    </cfRule>
  </conditionalFormatting>
  <conditionalFormatting sqref="C13:C16">
    <cfRule type="cellIs" priority="14" operator="greaterThanOrEqual" dxfId="2">
      <formula>4</formula>
    </cfRule>
    <cfRule type="cellIs" priority="15" operator="equal" dxfId="1">
      <formula>3</formula>
    </cfRule>
    <cfRule type="cellIs" priority="16" operator="lessThanOrEqual" dxfId="0">
      <formula>2</formula>
    </cfRule>
  </conditionalFormatting>
  <conditionalFormatting sqref="C19:C22">
    <cfRule type="cellIs" priority="26" operator="greaterThanOrEqual" dxfId="2">
      <formula>4</formula>
    </cfRule>
    <cfRule type="cellIs" priority="27" operator="equal" dxfId="1">
      <formula>3</formula>
    </cfRule>
    <cfRule type="cellIs" priority="28" operator="lessThanOrEqual" dxfId="0">
      <formula>2</formula>
    </cfRule>
  </conditionalFormatting>
  <conditionalFormatting sqref="C7:C22">
    <cfRule type="colorScale" priority="10">
      <colorScale>
        <cfvo type="min"/>
        <cfvo type="percentile" val="50"/>
        <cfvo type="max"/>
        <color rgb="00C6EFCE"/>
        <color rgb="00FFEB9C"/>
        <color rgb="00FFC7CE"/>
      </colorScale>
    </cfRule>
  </conditionalFormatting>
  <dataValidations count="2">
    <dataValidation sqref="C7:C10 C13:C16 C19:C22" showDropDown="0" showInputMessage="0" showErrorMessage="1" allowBlank="0" errorTitle="Invalid Score" error="Enter a whole number: 1=Low Risk, 5=High Risk" type="whole">
      <formula1>1</formula1>
      <formula2>5</formula2>
    </dataValidation>
    <dataValidation sqref="C7 C8 C9 C10 C13 C14 C15 C16 C19 C20 C21 C22" showDropDown="0" showInputMessage="0" showErrorMessage="0" allowBlank="1" prompt="Enter a risk score between 1 (Low Risk) and 5 (High Risk)." type="whole" operator="between">
      <formula1>1</formula1>
      <formula2>5</formula2>
    </dataValidation>
  </dataValidation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tabColor rgb="FF1B5E20"/>
    <outlinePr summaryBelow="1" summaryRight="1"/>
    <pageSetUpPr/>
  </sheetPr>
  <dimension ref="A1:I40"/>
  <sheetViews>
    <sheetView showGridLines="0" tabSelected="1" zoomScaleNormal="100" workbookViewId="0">
      <pane xSplit="1" ySplit="4" topLeftCell="B5" activePane="bottomRight" state="frozen"/>
      <selection pane="topRight" activeCell="B1" sqref="B1"/>
      <selection pane="bottomLeft" activeCell="A5" sqref="A5"/>
      <selection pane="bottomRight" activeCell="E18" sqref="E18"/>
    </sheetView>
  </sheetViews>
  <sheetFormatPr baseColWidth="8" defaultColWidth="8.6328125" defaultRowHeight="14.5"/>
  <cols>
    <col width="2" customWidth="1" min="1" max="1"/>
    <col width="28" customWidth="1" min="2" max="4"/>
    <col width="14" customWidth="1" min="5" max="5"/>
    <col width="2" customWidth="1" min="6" max="6"/>
  </cols>
  <sheetData>
    <row r="1">
      <c r="A1" s="14" t="n"/>
      <c r="B1" s="14" t="n"/>
      <c r="C1" s="14" t="n"/>
      <c r="D1" s="14" t="n"/>
      <c r="E1" s="14" t="n"/>
      <c r="F1" s="14" t="n"/>
      <c r="G1" s="14" t="n"/>
      <c r="H1" s="14" t="n"/>
      <c r="I1" s="14" t="n"/>
    </row>
    <row r="2" ht="36" customHeight="1">
      <c r="B2" s="10" t="inlineStr">
        <is>
          <t>STEP 5 — Qualification Score</t>
        </is>
      </c>
    </row>
    <row r="3" ht="15.75" customHeight="1">
      <c r="B3" s="9" t="inlineStr">
        <is>
          <t>Auto-calculated from all inputs. Review the RAG result and recommendation below.</t>
        </is>
      </c>
    </row>
    <row r="4" ht="9.75" customHeight="1"/>
    <row r="5" ht="19.5" customHeight="1">
      <c r="B5" s="8" t="inlineStr">
        <is>
          <t xml:space="preserve">  📋  Deal Summary</t>
        </is>
      </c>
    </row>
    <row r="6" ht="12.75" customHeight="1">
      <c r="B6" s="36" t="inlineStr">
        <is>
          <t>CUSTOMER</t>
        </is>
      </c>
      <c r="C6" s="36" t="inlineStr">
        <is>
          <t>OPPORTUNITY</t>
        </is>
      </c>
      <c r="D6" s="36" t="inlineStr">
        <is>
          <t>SECTOR</t>
        </is>
      </c>
    </row>
    <row r="7" ht="19.5" customHeight="1">
      <c r="B7" s="37">
        <f>'1 Deal Overview'!C8</f>
        <v/>
      </c>
      <c r="C7" s="37">
        <f>'1 Deal Overview'!E8</f>
        <v/>
      </c>
      <c r="D7" s="37">
        <f>'1 Deal Overview'!C12</f>
        <v/>
      </c>
    </row>
    <row r="8" ht="12.75" customHeight="1">
      <c r="B8" s="36" t="inlineStr">
        <is>
          <t>DEAL VALUE</t>
        </is>
      </c>
      <c r="C8" s="36" t="inlineStr">
        <is>
          <t>TIMELINE</t>
        </is>
      </c>
      <c r="D8" s="36" t="inlineStr">
        <is>
          <t>SERVICES</t>
        </is>
      </c>
    </row>
    <row r="9" ht="19.5" customHeight="1">
      <c r="B9" s="37">
        <f>'1 Deal Overview'!E12</f>
        <v/>
      </c>
      <c r="C9" s="37">
        <f>'1 Deal Overview'!E14</f>
        <v/>
      </c>
      <c r="D9" s="37">
        <f>COUNTIF('2 Requirements Map'!D6:D26,"YES")&amp;" selected"</f>
        <v/>
      </c>
    </row>
    <row r="11" ht="12" customHeight="1"/>
    <row r="12" ht="19.5" customHeight="1">
      <c r="B12" s="8" t="inlineStr">
        <is>
          <t xml:space="preserve">  🎯  Overall Qualification Score</t>
        </is>
      </c>
    </row>
    <row r="13" ht="13.5" customHeight="1">
      <c r="B13" s="19" t="inlineStr">
        <is>
          <t>Weighted Risk Score (1–5 scale)</t>
        </is>
      </c>
    </row>
    <row r="14" ht="60" customHeight="1">
      <c r="B14" s="44">
        <f>IFERROR(ROUND((('4 Risk Assessment'!C25*0.7+IFERROR((6-'3 Capability Match'!F27),2.5)*0.3)*$D$19 + '4 Risk Assessment'!C26*$D$20 + '4 Risk Assessment'!C27*$D$21),2),"N/A")</f>
        <v/>
      </c>
      <c r="C14" s="45">
        <f>IF(ISNUMBER(B14),IF(B14&lt;=2.5,"🟢  PROCEED — LOW RISK",IF(B14&lt;=3.5,"🟡  PROCEED WITH CAUTION","🔴  HIGH RISK — ESCALATE")),"Complete all steps first")</f>
        <v/>
      </c>
      <c r="D14" s="53" t="n"/>
      <c r="E14" s="53" t="n"/>
    </row>
    <row r="15" ht="19.5" customHeight="1">
      <c r="B15" s="54" t="n"/>
      <c r="C15" s="46" t="inlineStr">
        <is>
          <t>Score out of 5.00  |  1–2.5 = GREEN (Proceed)  |  2.5–3.5 = AMBER (Caution)  |  3.5–5 = RED (Escalate)</t>
        </is>
      </c>
    </row>
    <row r="16" ht="12" customHeight="1"/>
    <row r="17" ht="19.5" customHeight="1">
      <c r="B17" s="8" t="inlineStr">
        <is>
          <t xml:space="preserve">  📊  Dimension Breakdown</t>
        </is>
      </c>
    </row>
    <row r="18" ht="19.5" customHeight="1">
      <c r="B18" s="38" t="inlineStr">
        <is>
          <t>Dimension</t>
        </is>
      </c>
      <c r="C18" s="38" t="inlineStr">
        <is>
          <t>Raw Score</t>
        </is>
      </c>
      <c r="D18" s="38" t="inlineStr">
        <is>
          <t>Weight</t>
        </is>
      </c>
      <c r="E18" s="38" t="inlineStr">
        <is>
          <t>Weighted</t>
        </is>
      </c>
    </row>
    <row r="19" ht="21.75" customHeight="1">
      <c r="B19" s="21" t="inlineStr">
        <is>
          <t>⚙️  Development Risk</t>
        </is>
      </c>
      <c r="C19" s="39">
        <f>'4 Risk Assessment'!C25</f>
        <v/>
      </c>
      <c r="D19" s="40">
        <f>Settings!B2</f>
        <v/>
      </c>
      <c r="E19" s="41">
        <f>C19*D19</f>
        <v/>
      </c>
    </row>
    <row r="20" ht="21.75" customHeight="1">
      <c r="B20" s="21" t="inlineStr">
        <is>
          <t>⏱️  Time Risk</t>
        </is>
      </c>
      <c r="C20" s="39">
        <f>'4 Risk Assessment'!C26</f>
        <v/>
      </c>
      <c r="D20" s="40">
        <f>Settings!B3</f>
        <v/>
      </c>
      <c r="E20" s="41">
        <f>C20*D20</f>
        <v/>
      </c>
    </row>
    <row r="21" ht="21.75" customHeight="1">
      <c r="B21" s="21" t="inlineStr">
        <is>
          <t>🔧  Operations Risk</t>
        </is>
      </c>
      <c r="C21" s="39">
        <f>'4 Risk Assessment'!C27</f>
        <v/>
      </c>
      <c r="D21" s="40">
        <f>Settings!B4</f>
        <v/>
      </c>
      <c r="E21" s="41">
        <f>C21*D21</f>
        <v/>
      </c>
    </row>
    <row r="22" ht="21.75" customHeight="1">
      <c r="B22" s="42" t="inlineStr">
        <is>
          <t>Capability Score (overall):</t>
        </is>
      </c>
      <c r="C22" s="39">
        <f>'3 Capability Match'!F27</f>
        <v/>
      </c>
      <c r="D22" s="47" t="inlineStr">
        <is>
          <t>Higher = better capability alignment</t>
        </is>
      </c>
      <c r="E22" s="53" t="n"/>
    </row>
    <row r="23" ht="12" customHeight="1"/>
    <row r="24" ht="19.5" customHeight="1">
      <c r="B24" s="8" t="inlineStr">
        <is>
          <t xml:space="preserve">  🚩  Automated Risk Flags</t>
        </is>
      </c>
    </row>
    <row r="25" ht="21.75" customHeight="1">
      <c r="B25" s="48">
        <f>IF('4 Risk Assessment'!C21&gt;=4,"⚠ CRITICAL: Skill gap detected — subcontract or upskill before committing","✓ Skill gap risk within acceptable range")</f>
        <v/>
      </c>
      <c r="C25" s="55" t="n"/>
      <c r="D25" s="55" t="n"/>
      <c r="E25" s="55" t="n"/>
    </row>
    <row r="26" ht="21.75" customHeight="1">
      <c r="B26" s="48">
        <f>IF('4 Risk Assessment'!C22&gt;=4,"⚠ HIGH: Deadline appears infeasible — renegotiate scope or timeline","✓ Deadline risk is manageable")</f>
        <v/>
      </c>
      <c r="C26" s="55" t="n"/>
      <c r="D26" s="55" t="n"/>
      <c r="E26" s="55" t="n"/>
    </row>
    <row r="27" ht="21.75" customHeight="1">
      <c r="B27" s="48">
        <f>IF('4 Risk Assessment'!C23&gt;=4,"⚠ HIGH: No resource bandwidth — resolve capacity conflict first","✓ Resource availability is adequate")</f>
        <v/>
      </c>
      <c r="C27" s="55" t="n"/>
      <c r="D27" s="55" t="n"/>
      <c r="E27" s="55" t="n"/>
    </row>
    <row r="28" ht="21.75" customHeight="1">
      <c r="B28" s="48">
        <f>IF('4 Risk Assessment'!C23&gt;=4,"⚠ CRITICAL: SLA commitments exceed ops capacity — escalate to Head of Operations","✓ SLA commitments are feasible")</f>
        <v/>
      </c>
      <c r="C28" s="55" t="n"/>
      <c r="D28" s="55" t="n"/>
      <c r="E28" s="55" t="n"/>
    </row>
    <row r="29" ht="21.75" customHeight="1">
      <c r="B29" s="48">
        <f>IF('4 Risk Assessment'!C25&gt;=4,"⚠ AMBER: Low customer IT maturity — build extra support cost into commercial","✓ Customer IT maturity is manageable")</f>
        <v/>
      </c>
      <c r="C29" s="55" t="n"/>
      <c r="D29" s="55" t="n"/>
      <c r="E29" s="55" t="n"/>
    </row>
    <row r="30" ht="21.75" customHeight="1">
      <c r="B30" s="48">
        <f>IF('3 Capability Match'!F27&lt;2.5,"⚠ CRITICAL: Overall capability score too low — consider scoping down or partnering","✓ Capability level is sufficient for this deal")</f>
        <v/>
      </c>
      <c r="C30" s="55" t="n"/>
      <c r="D30" s="55" t="n"/>
      <c r="E30" s="55" t="n"/>
    </row>
    <row r="31" ht="12" customHeight="1"/>
    <row r="32" ht="19.5" customHeight="1">
      <c r="B32" s="8" t="inlineStr">
        <is>
          <t xml:space="preserve">  📌  Recommendation</t>
        </is>
      </c>
    </row>
    <row r="33" ht="15.75" customHeight="1">
      <c r="B33" s="49">
        <f>IF(ISNUMBER(B14),IF(B14&lt;=2.5,"PROCEED: This deal is well-aligned with Enfrasys capabilities. Assign a Solution Architect to lead the technical response. Draft SOW with clearly defined scope boundaries to prevent scope creep. Apply standard delivery governance.",IF(B14&lt;=3.5,_xlfn._LONGTEXT("PROCEED WITH CAUTION: Address all flagged risk items before committing. Confirm resource availability with the delivery lead. Obtain management sign-off on SLA commitments. Add 15–20% cost contingency buffer. Consider a Discovery or POC engagement to de-r","isk."),_xlfn._LONGTEXT("ESCALATE — HIGH RISK: Escalate to Solutions Director and Head of Delivery for review. Identify a strategic partner to fill capability gaps. Evaluate whether scope can be phased. If pursuing, apply a risk premium to commercials and assign a dedicated Risk ","Manager. Do NOT commit without leadership approval."))),"Please complete all assessment steps.")</f>
        <v/>
      </c>
      <c r="C33" s="51" t="n"/>
      <c r="D33" s="51" t="n"/>
      <c r="E33" s="51" t="n"/>
    </row>
    <row r="34" ht="15.75" customHeight="1">
      <c r="B34" s="56" t="n"/>
    </row>
    <row r="35" ht="15.75" customHeight="1">
      <c r="B35" s="56" t="n"/>
    </row>
    <row r="36" ht="15.75" customHeight="1">
      <c r="B36" s="56" t="n"/>
    </row>
    <row r="37" ht="15.75" customHeight="1">
      <c r="B37" s="56" t="n"/>
    </row>
    <row r="38" ht="15.75" customHeight="1">
      <c r="B38" s="56" t="n"/>
    </row>
    <row r="39" ht="12" customHeight="1"/>
    <row r="40">
      <c r="B40" s="46" t="inlineStr">
        <is>
          <t>Assessed by: ____________________________     Date: ________________     Approved by: ____________________________</t>
        </is>
      </c>
    </row>
  </sheetData>
  <mergeCells count="19">
    <mergeCell ref="B40:E40"/>
    <mergeCell ref="B30:E30"/>
    <mergeCell ref="D22:E22"/>
    <mergeCell ref="B5:E5"/>
    <mergeCell ref="B24:E24"/>
    <mergeCell ref="B14:B15"/>
    <mergeCell ref="B32:E32"/>
    <mergeCell ref="B26:E26"/>
    <mergeCell ref="B25:E25"/>
    <mergeCell ref="B3:E3"/>
    <mergeCell ref="B27:E27"/>
    <mergeCell ref="B12:E12"/>
    <mergeCell ref="B2:E2"/>
    <mergeCell ref="C15:E15"/>
    <mergeCell ref="B33:E38"/>
    <mergeCell ref="B17:E17"/>
    <mergeCell ref="C14:E14"/>
    <mergeCell ref="B29:E29"/>
    <mergeCell ref="B28:E28"/>
  </mergeCells>
  <conditionalFormatting sqref="B33:E38">
    <cfRule type="expression" priority="26" dxfId="8">
      <formula>AND(ISNUMBER(B14),B14&lt;=2.5)</formula>
    </cfRule>
    <cfRule type="expression" priority="27" dxfId="7">
      <formula>AND(ISNUMBER(B14),B14&gt;2.5,B14&lt;=3.5)</formula>
    </cfRule>
    <cfRule type="expression" priority="28" dxfId="6">
      <formula>AND(ISNUMBER(B14),B14&gt;3.5)</formula>
    </cfRule>
  </conditionalFormatting>
  <conditionalFormatting sqref="C14">
    <cfRule type="expression" priority="2" dxfId="5">
      <formula>AND(ISNUMBER(B14),B14&lt;=2.5)</formula>
    </cfRule>
    <cfRule type="expression" priority="3" dxfId="4">
      <formula>AND(ISNUMBER(B14),B14&gt;2.5,B14&lt;=3.5)</formula>
    </cfRule>
    <cfRule type="expression" priority="4" dxfId="3">
      <formula>AND(ISNUMBER(B14),B14&gt;3.5)</formula>
    </cfRule>
  </conditionalFormatting>
  <conditionalFormatting sqref="C19:C21">
    <cfRule type="cellIs" priority="5" operator="greaterThan" dxfId="2">
      <formula>3.5</formula>
    </cfRule>
    <cfRule type="cellIs" priority="6" operator="between" dxfId="1">
      <formula>2.5</formula>
      <formula>3.5</formula>
    </cfRule>
    <cfRule type="cellIs" priority="7" operator="lessThanOrEqual" dxfId="0">
      <formula>2.5</formula>
    </cfRule>
  </conditionalFormatting>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Risk Dimension</t>
        </is>
      </c>
      <c r="B1" t="inlineStr">
        <is>
          <t>Weight</t>
        </is>
      </c>
    </row>
    <row r="2">
      <c r="A2" t="inlineStr">
        <is>
          <t>Development</t>
        </is>
      </c>
      <c r="B2" t="n">
        <v>0.35</v>
      </c>
    </row>
    <row r="3">
      <c r="A3" t="inlineStr">
        <is>
          <t>Time</t>
        </is>
      </c>
      <c r="B3" t="n">
        <v>0.35</v>
      </c>
    </row>
    <row r="4">
      <c r="A4" t="inlineStr">
        <is>
          <t>Operations</t>
        </is>
      </c>
      <c r="B4" t="n">
        <v>0.3</v>
      </c>
    </row>
    <row r="6">
      <c r="A6" t="inlineStr">
        <is>
          <t>Note: Ensure weights sum to 1 (100%). Adjust as needed.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2026-04-29T04:55:49Z</dcterms:created>
  <dcterms:modified xmlns:dcterms="http://purl.org/dc/terms/" xmlns:xsi="http://www.w3.org/2001/XMLSchema-instance" xsi:type="dcterms:W3CDTF">2026-05-04T04:44:58Z</dcterms:modified>
  <cp:lastModifiedBy>Rianelis Spyridon Kyriazatis</cp:lastModifiedBy>
  <cp:revision>0</cp:revision>
</cp:coreProperties>
</file>

<file path=docProps/custom.xml><?xml version="1.0" encoding="utf-8"?>
<Properties xmlns="http://schemas.openxmlformats.org/officeDocument/2006/custom-properties">
  <property name="MSIP_Label_cd6f82a6-c848-47fe-89a7-cf2a171db433_Enabled" fmtid="{D5CDD505-2E9C-101B-9397-08002B2CF9AE}" pid="2">
    <vt:lpwstr xmlns:vt="http://schemas.openxmlformats.org/officeDocument/2006/docPropsVTypes">true</vt:lpwstr>
  </property>
  <property name="MSIP_Label_cd6f82a6-c848-47fe-89a7-cf2a171db433_SetDate" fmtid="{D5CDD505-2E9C-101B-9397-08002B2CF9AE}" pid="3">
    <vt:lpwstr xmlns:vt="http://schemas.openxmlformats.org/officeDocument/2006/docPropsVTypes">2026-04-30T03:54:28Z</vt:lpwstr>
  </property>
  <property name="MSIP_Label_cd6f82a6-c848-47fe-89a7-cf2a171db433_Method" fmtid="{D5CDD505-2E9C-101B-9397-08002B2CF9AE}" pid="4">
    <vt:lpwstr xmlns:vt="http://schemas.openxmlformats.org/officeDocument/2006/docPropsVTypes">Standard</vt:lpwstr>
  </property>
  <property name="MSIP_Label_cd6f82a6-c848-47fe-89a7-cf2a171db433_Name" fmtid="{D5CDD505-2E9C-101B-9397-08002B2CF9AE}" pid="5">
    <vt:lpwstr xmlns:vt="http://schemas.openxmlformats.org/officeDocument/2006/docPropsVTypes">Public</vt:lpwstr>
  </property>
  <property name="MSIP_Label_cd6f82a6-c848-47fe-89a7-cf2a171db433_SiteId" fmtid="{D5CDD505-2E9C-101B-9397-08002B2CF9AE}" pid="6">
    <vt:lpwstr xmlns:vt="http://schemas.openxmlformats.org/officeDocument/2006/docPropsVTypes">db992bae-4cb3-4086-8c91-55255b0c39fe</vt:lpwstr>
  </property>
  <property name="MSIP_Label_cd6f82a6-c848-47fe-89a7-cf2a171db433_ActionId" fmtid="{D5CDD505-2E9C-101B-9397-08002B2CF9AE}" pid="7">
    <vt:lpwstr xmlns:vt="http://schemas.openxmlformats.org/officeDocument/2006/docPropsVTypes">79bdf98d-9ddd-4c38-89ed-c2f7803b79c4</vt:lpwstr>
  </property>
  <property name="MSIP_Label_cd6f82a6-c848-47fe-89a7-cf2a171db433_ContentBits" fmtid="{D5CDD505-2E9C-101B-9397-08002B2CF9AE}" pid="8">
    <vt:lpwstr xmlns:vt="http://schemas.openxmlformats.org/officeDocument/2006/docPropsVTypes">0</vt:lpwstr>
  </property>
  <property name="MSIP_Label_cd6f82a6-c848-47fe-89a7-cf2a171db433_Tag" fmtid="{D5CDD505-2E9C-101B-9397-08002B2CF9AE}" pid="9">
    <vt:lpwstr xmlns:vt="http://schemas.openxmlformats.org/officeDocument/2006/docPropsVTypes">10, 3, 0, 1</vt:lpwstr>
  </property>
</Properties>
</file>